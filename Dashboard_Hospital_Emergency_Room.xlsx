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acties_2026\Excel_2026\Hospital Emergency Room Dashboard\"/>
    </mc:Choice>
  </mc:AlternateContent>
  <xr:revisionPtr revIDLastSave="0" documentId="13_ncr:1_{E6EBB244-8E0E-4D9A-9C35-6CC40B58E760}" xr6:coauthVersionLast="47" xr6:coauthVersionMax="47" xr10:uidLastSave="{00000000-0000-0000-0000-000000000000}"/>
  <bookViews>
    <workbookView xWindow="-120" yWindow="-120" windowWidth="20730" windowHeight="11040" tabRatio="692" activeTab="1" xr2:uid="{2398D94E-3669-4EF6-9A2D-994C8BCC5FD4}"/>
  </bookViews>
  <sheets>
    <sheet name="PivotReport" sheetId="1" r:id="rId1"/>
    <sheet name="Dashboard" sheetId="2" r:id="rId2"/>
    <sheet name="Score" sheetId="5" r:id="rId3"/>
    <sheet name="Waittime" sheetId="4" r:id="rId4"/>
    <sheet name="Chart" sheetId="3" r:id="rId5"/>
  </sheets>
  <definedNames>
    <definedName name="Slicer_Date__Month">#N/A</definedName>
    <definedName name="Slicer_Date__Year">#N/A</definedName>
  </definedNames>
  <calcPr calcId="191029" iterate="1"/>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391a731-615a-4258-8bf3-c74ceff8305b" name="Hospital Emergency Room Data" connection="Query - Hospital Emergency Room Data"/>
          <x15:modelTable id="Calender_Table_3e4a15c7-c2f3-4f44-8350-d2435ffe308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5" i="1" l="1"/>
  <c r="L15" i="1"/>
  <c r="N15" i="1"/>
  <c r="M16" i="1"/>
  <c r="N16" i="1"/>
  <c r="L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C4202-C656-43F5-8E91-A38FDCF68526}" name="Query - Calender_Table" description="Connection to the 'Calender_Table' query in the workbook." type="100" refreshedVersion="8" minRefreshableVersion="5">
    <extLst>
      <ext xmlns:x15="http://schemas.microsoft.com/office/spreadsheetml/2010/11/main" uri="{DE250136-89BD-433C-8126-D09CA5730AF9}">
        <x15:connection id="d5d703f4-8037-41c0-a9aa-785e1a62b5db"/>
      </ext>
    </extLst>
  </connection>
  <connection id="2" xr16:uid="{625B26ED-7450-40AD-BFBE-CFB0C387C25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fe197df-71f5-4042-80eb-73d808768475"/>
      </ext>
    </extLst>
  </connection>
  <connection id="3" xr16:uid="{B0A38E2E-AC1A-4C30-B51A-B05750DED3E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<sst xmlns="http://schemas.openxmlformats.org/spreadsheetml/2006/main" count="152" uniqueCount="75">
  <si>
    <t>Distinct Count of Patient Id</t>
  </si>
  <si>
    <t>No. Of Patient</t>
  </si>
  <si>
    <t>Average of Patient Waittime</t>
  </si>
  <si>
    <t>Average of Patient Satisfaction Score</t>
  </si>
  <si>
    <t>Row Labels</t>
  </si>
  <si>
    <t>Grand Total</t>
  </si>
  <si>
    <t xml:space="preserve">Dayli Trand </t>
  </si>
  <si>
    <t>Average WaitTime</t>
  </si>
  <si>
    <r>
      <rPr>
        <sz val="11"/>
        <color theme="1" tint="0.14999847407452621"/>
        <rFont val="Aptos Narrow"/>
        <family val="2"/>
        <scheme val="minor"/>
      </rPr>
      <t>Score</t>
    </r>
    <r>
      <rPr>
        <sz val="11"/>
        <color theme="1"/>
        <rFont val="Aptos Narrow"/>
        <family val="2"/>
        <scheme val="minor"/>
      </rPr>
      <t xml:space="preserve"> Patient </t>
    </r>
  </si>
  <si>
    <t>Admitted</t>
  </si>
  <si>
    <t>Not admitted</t>
  </si>
  <si>
    <t>Count of Patient Admission Flag2</t>
  </si>
  <si>
    <t>Admission Status</t>
  </si>
  <si>
    <t>% Status</t>
  </si>
  <si>
    <t>Patient</t>
  </si>
  <si>
    <t>0-9</t>
  </si>
  <si>
    <t>10-19</t>
  </si>
  <si>
    <t>20-29</t>
  </si>
  <si>
    <t>30-39</t>
  </si>
  <si>
    <t>40-49</t>
  </si>
  <si>
    <t>50-59</t>
  </si>
  <si>
    <t>60-69</t>
  </si>
  <si>
    <t>70-79</t>
  </si>
  <si>
    <t>Count of Age_Group</t>
  </si>
  <si>
    <t>Age Group</t>
  </si>
  <si>
    <t>Ontime</t>
  </si>
  <si>
    <t>Deley</t>
  </si>
  <si>
    <t>Patient Attendnce Status</t>
  </si>
  <si>
    <t>Count of Patient Attend Status</t>
  </si>
  <si>
    <t>Count of Patient Gender</t>
  </si>
  <si>
    <t>Female</t>
  </si>
  <si>
    <t>Male</t>
  </si>
  <si>
    <t>Patient Gender  Status</t>
  </si>
  <si>
    <t>Cardiology</t>
  </si>
  <si>
    <t>Gastroenterology</t>
  </si>
  <si>
    <t>General Practice</t>
  </si>
  <si>
    <t>Neurology</t>
  </si>
  <si>
    <t>None</t>
  </si>
  <si>
    <t>Orthopedics</t>
  </si>
  <si>
    <t>Physiotherapy</t>
  </si>
  <si>
    <t>Renal</t>
  </si>
  <si>
    <t>Count of Department Referral</t>
  </si>
  <si>
    <t>Patient Department  Status</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</si>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</sst>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4"/>
      <color theme="3" tint="9.9978637043366805E-2"/>
      <name val="Aptos Narrow"/>
      <family val="2"/>
      <scheme val="minor"/>
    </font>
    <font>
      <sz val="11"/>
      <color theme="1" tint="0.14999847407452621"/>
      <name val="Aptos Narrow"/>
      <family val="2"/>
      <scheme val="minor"/>
    </font>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rgb="FF49494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9.9978637043366805E-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3" borderId="0" xfId="0" applyFill="1" applyAlignment="1">
      <alignment horizontal="center"/>
    </xf>
    <xf numFmtId="10" fontId="0" fillId="0" borderId="0" xfId="0" applyNumberFormat="1"/>
    <xf numFmtId="0" fontId="4" fillId="5" borderId="0" xfId="0" applyFont="1" applyFill="1" applyAlignment="1">
      <alignment horizontal="center" vertical="center"/>
    </xf>
    <xf numFmtId="0" fontId="4" fillId="5" borderId="0" xfId="0" applyFont="1" applyFill="1" applyAlignment="1">
      <alignment horizontal="left" vertical="center"/>
    </xf>
    <xf numFmtId="10" fontId="0" fillId="3" borderId="0" xfId="1" applyNumberFormat="1" applyFont="1" applyFill="1" applyAlignment="1">
      <alignment horizontal="center"/>
    </xf>
    <xf numFmtId="0" fontId="0" fillId="3" borderId="0" xfId="0" applyFill="1" applyAlignment="1">
      <alignment horizontal="center" vertical="center"/>
    </xf>
    <xf numFmtId="0" fontId="1" fillId="4" borderId="0" xfId="0" applyFont="1" applyFill="1" applyAlignment="1">
      <alignment horizontal="center"/>
    </xf>
    <xf numFmtId="0" fontId="0" fillId="4" borderId="0" xfId="0" applyFill="1" applyAlignment="1">
      <alignment horizontal="center"/>
    </xf>
    <xf numFmtId="0" fontId="0" fillId="3" borderId="0" xfId="0" applyFill="1" applyAlignment="1">
      <alignment horizontal="center"/>
    </xf>
    <xf numFmtId="0" fontId="0" fillId="0" borderId="0" xfId="0" applyAlignment="1">
      <alignment horizontal="center"/>
    </xf>
  </cellXfs>
  <cellStyles count="2">
    <cellStyle name="Normal" xfId="0" builtinId="0"/>
    <cellStyle name="Percent" xfId="1" builtinId="5"/>
  </cellStyles>
  <dxfs count="6">
    <dxf>
      <numFmt numFmtId="2" formatCode="0.00"/>
    </dxf>
    <dxf>
      <numFmt numFmtId="2" formatCode="0.00"/>
    </dxf>
    <dxf>
      <numFmt numFmtId="2" formatCode="0.00"/>
    </dxf>
    <dxf>
      <numFmt numFmtId="2" formatCode="0.00"/>
    </dxf>
    <dxf>
      <font>
        <b/>
        <color theme="1"/>
      </font>
      <border>
        <bottom style="thin">
          <color theme="4"/>
        </bottom>
        <vertical/>
        <horizontal/>
      </border>
    </dxf>
    <dxf>
      <font>
        <b val="0"/>
        <i val="0"/>
        <sz val="11"/>
        <color theme="1"/>
        <name val="Georgia"/>
        <family val="1"/>
        <scheme val="none"/>
      </font>
      <fill>
        <patternFill>
          <bgColor theme="0"/>
        </patternFill>
      </fill>
      <border diagonalUp="0" diagonalDown="0">
        <left/>
        <right/>
        <top/>
        <bottom/>
        <vertical/>
        <horizontal/>
      </border>
    </dxf>
  </dxfs>
  <tableStyles count="1" defaultTableStyle="TableStyleMedium2" defaultPivotStyle="PivotStyleLight16">
    <tableStyle name="MYSlicer" pivot="0" table="0" count="10" xr9:uid="{F6C89DB8-444A-4D41-9E9A-6323E6FA97C4}">
      <tableStyleElement type="wholeTable" dxfId="5"/>
      <tableStyleElement type="headerRow" dxfId="4"/>
    </tableStyle>
  </tableStyles>
  <colors>
    <mruColors>
      <color rgb="FFB48900"/>
      <color rgb="FF706E14"/>
      <color rgb="FFAAA719"/>
      <color rgb="FFACA408"/>
      <color rgb="FF003366"/>
      <color rgb="FF186372"/>
      <color rgb="FFFFFF00"/>
      <color rgb="FFF2F222"/>
      <color rgb="FF142932"/>
      <color rgb="FF91DFEF"/>
    </mruColors>
  </colors>
  <extLst>
    <ext xmlns:x14="http://schemas.microsoft.com/office/spreadsheetml/2009/9/main" uri="{46F421CA-312F-682f-3DD2-61675219B42D}">
      <x14:dxfs count="8">
        <dxf>
          <font>
            <color rgb="FF000000"/>
          </font>
          <fill>
            <gradientFill>
              <stop position="0">
                <color rgb="FF003366"/>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stop position="0">
                <color rgb="FFF8E162"/>
              </stop>
              <stop position="1">
                <color rgb="FFB48900"/>
              </stop>
            </gradientFill>
          </fill>
          <border>
            <left style="thin">
              <color rgb="FF999999"/>
            </left>
            <right style="thin">
              <color rgb="FF999999"/>
            </right>
            <top style="thin">
              <color rgb="FF999999"/>
            </top>
            <bottom style="thin">
              <color rgb="FF999999"/>
            </bottom>
            <vertical/>
            <horizontal/>
          </border>
        </dxf>
        <dxf>
          <font>
            <color rgb="FF000000"/>
          </font>
          <fill>
            <gradientFill>
              <stop position="0">
                <color rgb="FFFFFF00"/>
              </stop>
              <stop position="1">
                <color rgb="FF706E14"/>
              </stop>
            </gradientFill>
          </fill>
          <border>
            <left style="thin">
              <color rgb="FF999999"/>
            </left>
            <right style="thin">
              <color rgb="FF999999"/>
            </right>
            <top style="thin">
              <color rgb="FF999999"/>
            </top>
            <bottom style="thin">
              <color rgb="FF999999"/>
            </bottom>
            <vertical/>
            <horizontal/>
          </border>
        </dxf>
        <dxf>
          <font>
            <color rgb="FF000000"/>
          </font>
          <fill>
            <gradientFill>
              <stop position="0">
                <color rgb="FF003366"/>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gradientFill>
              <stop position="0">
                <color theme="3" tint="0.74901577806939912"/>
              </stop>
              <stop position="1">
                <color theme="4"/>
              </stop>
            </gradient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B48900"/>
            </patternFill>
          </fill>
          <border diagonalUp="0" diagonalDown="0">
            <left/>
            <right/>
            <top/>
            <bottom/>
            <vertical/>
            <horizontal/>
          </border>
        </dxf>
        <dxf>
          <font>
            <color rgb="FF959595"/>
          </font>
          <fill>
            <gradientFill>
              <stop position="0">
                <color rgb="FFFFFF00"/>
              </stop>
              <stop position="1">
                <color rgb="FFACA408"/>
              </stop>
            </gradientFill>
          </fill>
          <border>
            <left style="thin">
              <color rgb="FFDFDFDF"/>
            </left>
            <right style="thin">
              <color rgb="FFDFDFDF"/>
            </right>
            <top style="thin">
              <color rgb="FFDFDFDF"/>
            </top>
            <bottom style="thin">
              <color rgb="FFDFDFDF"/>
            </bottom>
            <vertical/>
            <horizontal/>
          </border>
        </dxf>
        <dxf>
          <font>
            <color rgb="FF000000"/>
          </font>
          <fill>
            <gradientFill>
              <stop position="0">
                <color theme="4" tint="0.40000610370189521"/>
              </stop>
              <stop position="1">
                <color theme="4"/>
              </stop>
            </gradient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[Dashboard_Hospital_Emergency_Room.xlsx]PivotReport!PivotTable5</c:name>
    <c:fmtId val="1"/>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
          <c:y val="8.856085129989974E-2"/>
          <c:w val="0.92439862542955331"/>
          <c:h val="0.78351791904468948"/>
        </c:manualLayout>
      </c:layout>
      <c:barChart>
        <c:barDir val="bar"/>
        <c:grouping val="clustered"/>
        <c:varyColors val="0"/>
        <c:ser>
          <c:idx val="0"/>
          <c:order val="0"/>
          <c:tx>
            <c:strRef>
              <c:f>PivotReport!$M$6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PivotReport!$L$7:$L$9</c:f>
              <c:strCache>
                <c:ptCount val="2"/>
                <c:pt idx="0">
                  <c:v>Admitted</c:v>
                </c:pt>
                <c:pt idx="1">
                  <c:v>Not admitted</c:v>
                </c:pt>
              </c:strCache>
            </c:strRef>
          </c:cat>
          <c:val>
            <c:numRef>
              <c:f>PivotReport!$M$7:$M$9</c:f>
              <c:numCache>
                <c:formatCode>0.00%</c:formatCode>
                <c:ptCount val="2"/>
                <c:pt idx="0">
                  <c:v>0.52436647173489281</c:v>
                </c:pt>
                <c:pt idx="1">
                  <c:v>0.47563352826510719</c:v>
                </c:pt>
              </c:numCache>
            </c:numRef>
          </c:val>
          <c:extLst>
            <c:ext xmlns:c16="http://schemas.microsoft.com/office/drawing/2014/chart" uri="{C3380CC4-5D6E-409C-BE32-E72D297353CC}">
              <c16:uniqueId val="{00000006-E1FD-4FDB-AAB3-B17E720B781E}"/>
            </c:ext>
          </c:extLst>
        </c:ser>
        <c:dLbls>
          <c:showLegendKey val="0"/>
          <c:showVal val="0"/>
          <c:showCatName val="0"/>
          <c:showSerName val="0"/>
          <c:showPercent val="0"/>
          <c:showBubbleSize val="0"/>
        </c:dLbls>
        <c:gapWidth val="9"/>
        <c:axId val="1226848607"/>
        <c:axId val="1226833247"/>
      </c:barChart>
      <c:catAx>
        <c:axId val="1226848607"/>
        <c:scaling>
          <c:orientation val="minMax"/>
        </c:scaling>
        <c:delete val="1"/>
        <c:axPos val="l"/>
        <c:numFmt formatCode="General" sourceLinked="1"/>
        <c:majorTickMark val="none"/>
        <c:minorTickMark val="none"/>
        <c:tickLblPos val="nextTo"/>
        <c:crossAx val="1226833247"/>
        <c:crosses val="autoZero"/>
        <c:auto val="1"/>
        <c:lblAlgn val="ctr"/>
        <c:lblOffset val="100"/>
        <c:noMultiLvlLbl val="0"/>
      </c:catAx>
      <c:valAx>
        <c:axId val="1226833247"/>
        <c:scaling>
          <c:orientation val="minMax"/>
        </c:scaling>
        <c:delete val="1"/>
        <c:axPos val="b"/>
        <c:numFmt formatCode="0.00%" sourceLinked="1"/>
        <c:majorTickMark val="none"/>
        <c:minorTickMark val="none"/>
        <c:tickLblPos val="nextTo"/>
        <c:crossAx val="122684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35478276001681E-2"/>
          <c:y val="0.17382798304058147"/>
          <c:w val="0.94133107443923747"/>
          <c:h val="0.8190652130022209"/>
        </c:manualLayout>
      </c:layout>
      <c:areaChart>
        <c:grouping val="standard"/>
        <c:varyColors val="0"/>
        <c:ser>
          <c:idx val="0"/>
          <c:order val="0"/>
          <c:tx>
            <c:strRef>
              <c:f>PivotReport!$D$5</c:f>
              <c:strCache>
                <c:ptCount val="1"/>
                <c:pt idx="0">
                  <c:v>Total</c:v>
                </c:pt>
              </c:strCache>
            </c:strRef>
          </c:tx>
          <c:spPr>
            <a:solidFill>
              <a:schemeClr val="accent1"/>
            </a:solidFill>
            <a:ln w="25400">
              <a:noFill/>
            </a:ln>
            <a:effectLst/>
          </c:spPr>
          <c:cat>
            <c:strRef>
              <c:f>PivotReport!$C$6:$C$37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616-40A3-A228-B6A713B5C478}"/>
            </c:ext>
          </c:extLst>
        </c:ser>
        <c:dLbls>
          <c:showLegendKey val="0"/>
          <c:showVal val="0"/>
          <c:showCatName val="0"/>
          <c:showSerName val="0"/>
          <c:showPercent val="0"/>
          <c:showBubbleSize val="0"/>
        </c:dLbls>
        <c:axId val="853673792"/>
        <c:axId val="853668992"/>
      </c:areaChart>
      <c:catAx>
        <c:axId val="853673792"/>
        <c:scaling>
          <c:orientation val="minMax"/>
        </c:scaling>
        <c:delete val="1"/>
        <c:axPos val="b"/>
        <c:numFmt formatCode="General" sourceLinked="1"/>
        <c:majorTickMark val="out"/>
        <c:minorTickMark val="none"/>
        <c:tickLblPos val="nextTo"/>
        <c:crossAx val="853668992"/>
        <c:crosses val="autoZero"/>
        <c:auto val="1"/>
        <c:lblAlgn val="ctr"/>
        <c:lblOffset val="100"/>
        <c:noMultiLvlLbl val="0"/>
      </c:catAx>
      <c:valAx>
        <c:axId val="853668992"/>
        <c:scaling>
          <c:orientation val="minMax"/>
        </c:scaling>
        <c:delete val="1"/>
        <c:axPos val="l"/>
        <c:numFmt formatCode="General" sourceLinked="1"/>
        <c:majorTickMark val="none"/>
        <c:minorTickMark val="none"/>
        <c:tickLblPos val="nextTo"/>
        <c:crossAx val="8536737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16404210238E-2"/>
          <c:y val="0.26666717569491899"/>
          <c:w val="0.96666664479438635"/>
          <c:h val="0.66060541275192131"/>
        </c:manualLayout>
      </c:layout>
      <c:areaChart>
        <c:grouping val="standard"/>
        <c:varyColors val="0"/>
        <c:ser>
          <c:idx val="0"/>
          <c:order val="0"/>
          <c:tx>
            <c:strRef>
              <c:f>PivotReport!$G$6</c:f>
              <c:strCache>
                <c:ptCount val="1"/>
                <c:pt idx="0">
                  <c:v>Total</c:v>
                </c:pt>
              </c:strCache>
            </c:strRef>
          </c:tx>
          <c:spPr>
            <a:solidFill>
              <a:schemeClr val="accent1"/>
            </a:solidFill>
            <a:ln w="25400">
              <a:noFill/>
            </a:ln>
            <a:effectLst/>
          </c:spPr>
          <c:cat>
            <c:strRef>
              <c:f>PivotReport!$F$7:$F$38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PivotReport!$G$7:$G$38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A-05DD-48BF-8CC8-0CC3B36F7B0A}"/>
            </c:ext>
          </c:extLst>
        </c:ser>
        <c:dLbls>
          <c:showLegendKey val="0"/>
          <c:showVal val="0"/>
          <c:showCatName val="0"/>
          <c:showSerName val="0"/>
          <c:showPercent val="0"/>
          <c:showBubbleSize val="0"/>
        </c:dLbls>
        <c:axId val="911791504"/>
        <c:axId val="911802064"/>
      </c:areaChart>
      <c:catAx>
        <c:axId val="911791504"/>
        <c:scaling>
          <c:orientation val="minMax"/>
        </c:scaling>
        <c:delete val="1"/>
        <c:axPos val="b"/>
        <c:numFmt formatCode="General" sourceLinked="1"/>
        <c:majorTickMark val="out"/>
        <c:minorTickMark val="none"/>
        <c:tickLblPos val="nextTo"/>
        <c:crossAx val="911802064"/>
        <c:crosses val="autoZero"/>
        <c:auto val="1"/>
        <c:lblAlgn val="ctr"/>
        <c:lblOffset val="100"/>
        <c:noMultiLvlLbl val="0"/>
      </c:catAx>
      <c:valAx>
        <c:axId val="911802064"/>
        <c:scaling>
          <c:orientation val="minMax"/>
        </c:scaling>
        <c:delete val="1"/>
        <c:axPos val="l"/>
        <c:numFmt formatCode="0.00" sourceLinked="1"/>
        <c:majorTickMark val="none"/>
        <c:minorTickMark val="none"/>
        <c:tickLblPos val="nextTo"/>
        <c:crossAx val="9117915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814814814814815E-2"/>
          <c:y val="0.27586206896551724"/>
          <c:w val="0.97777777777777775"/>
          <c:h val="0.72413793103448276"/>
        </c:manualLayout>
      </c:layout>
      <c:areaChart>
        <c:grouping val="standard"/>
        <c:varyColors val="0"/>
        <c:ser>
          <c:idx val="0"/>
          <c:order val="0"/>
          <c:tx>
            <c:strRef>
              <c:f>PivotReport!$J$6</c:f>
              <c:strCache>
                <c:ptCount val="1"/>
                <c:pt idx="0">
                  <c:v>Total</c:v>
                </c:pt>
              </c:strCache>
            </c:strRef>
          </c:tx>
          <c:spPr>
            <a:solidFill>
              <a:schemeClr val="accent1"/>
            </a:solidFill>
            <a:ln w="25400">
              <a:noFill/>
            </a:ln>
            <a:effectLst/>
          </c:spPr>
          <c:cat>
            <c:strRef>
              <c:f>PivotReport!$I$7:$I$38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PivotReport!$J$7:$J$38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A-398A-4657-AD46-8D184CB8F3AC}"/>
            </c:ext>
          </c:extLst>
        </c:ser>
        <c:dLbls>
          <c:showLegendKey val="0"/>
          <c:showVal val="0"/>
          <c:showCatName val="0"/>
          <c:showSerName val="0"/>
          <c:showPercent val="0"/>
          <c:showBubbleSize val="0"/>
        </c:dLbls>
        <c:axId val="851604752"/>
        <c:axId val="851622992"/>
      </c:areaChart>
      <c:catAx>
        <c:axId val="851604752"/>
        <c:scaling>
          <c:orientation val="minMax"/>
        </c:scaling>
        <c:delete val="1"/>
        <c:axPos val="b"/>
        <c:numFmt formatCode="General" sourceLinked="1"/>
        <c:majorTickMark val="out"/>
        <c:minorTickMark val="none"/>
        <c:tickLblPos val="nextTo"/>
        <c:crossAx val="851622992"/>
        <c:crosses val="autoZero"/>
        <c:auto val="1"/>
        <c:lblAlgn val="ctr"/>
        <c:lblOffset val="100"/>
        <c:noMultiLvlLbl val="0"/>
      </c:catAx>
      <c:valAx>
        <c:axId val="851622992"/>
        <c:scaling>
          <c:orientation val="minMax"/>
        </c:scaling>
        <c:delete val="1"/>
        <c:axPos val="l"/>
        <c:numFmt formatCode="0.00" sourceLinked="1"/>
        <c:majorTickMark val="none"/>
        <c:minorTickMark val="none"/>
        <c:tickLblPos val="nextTo"/>
        <c:crossAx val="85160475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8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1848266990346E-2"/>
          <c:y val="6.9709564992900472E-2"/>
          <c:w val="0.90297462817147855"/>
          <c:h val="0.67441963197223287"/>
        </c:manualLayout>
      </c:layout>
      <c:barChart>
        <c:barDir val="col"/>
        <c:grouping val="clustered"/>
        <c:varyColors val="0"/>
        <c:ser>
          <c:idx val="0"/>
          <c:order val="0"/>
          <c:tx>
            <c:strRef>
              <c:f>PivotReport!$M$21</c:f>
              <c:strCache>
                <c:ptCount val="1"/>
                <c:pt idx="0">
                  <c:v>Total</c:v>
                </c:pt>
              </c:strCache>
            </c:strRef>
          </c:tx>
          <c:spPr>
            <a:solidFill>
              <a:srgbClr val="B48900"/>
            </a:solidFill>
            <a:ln>
              <a:noFill/>
            </a:ln>
            <a:effectLst/>
          </c:spPr>
          <c:invertIfNegative val="0"/>
          <c:cat>
            <c:strRef>
              <c:f>PivotReport!$L$22:$L$29</c:f>
              <c:strCache>
                <c:ptCount val="8"/>
                <c:pt idx="0">
                  <c:v>0-9</c:v>
                </c:pt>
                <c:pt idx="1">
                  <c:v>10-19</c:v>
                </c:pt>
                <c:pt idx="2">
                  <c:v>20-29</c:v>
                </c:pt>
                <c:pt idx="3">
                  <c:v>30-39</c:v>
                </c:pt>
                <c:pt idx="4">
                  <c:v>40-49</c:v>
                </c:pt>
                <c:pt idx="5">
                  <c:v>50-59</c:v>
                </c:pt>
                <c:pt idx="6">
                  <c:v>60-69</c:v>
                </c:pt>
                <c:pt idx="7">
                  <c:v>70-79</c:v>
                </c:pt>
              </c:strCache>
            </c:strRef>
          </c:cat>
          <c:val>
            <c:numRef>
              <c:f>PivotReport!$M$22:$M$29</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B-2287-4A68-BA1C-F4AA99EC8254}"/>
            </c:ext>
          </c:extLst>
        </c:ser>
        <c:dLbls>
          <c:showLegendKey val="0"/>
          <c:showVal val="0"/>
          <c:showCatName val="0"/>
          <c:showSerName val="0"/>
          <c:showPercent val="0"/>
          <c:showBubbleSize val="0"/>
        </c:dLbls>
        <c:gapWidth val="219"/>
        <c:overlap val="-27"/>
        <c:axId val="898967183"/>
        <c:axId val="898966703"/>
      </c:barChart>
      <c:catAx>
        <c:axId val="8989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8966703"/>
        <c:crosses val="autoZero"/>
        <c:auto val="1"/>
        <c:lblAlgn val="ctr"/>
        <c:lblOffset val="100"/>
        <c:noMultiLvlLbl val="0"/>
      </c:catAx>
      <c:valAx>
        <c:axId val="898966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896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535719080199693"/>
              <c:y val="-3.85009861932939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CA408"/>
          </a:solidFill>
          <a:ln>
            <a:noFill/>
          </a:ln>
          <a:effectLst/>
          <a:scene3d>
            <a:camera prst="orthographicFront"/>
            <a:lightRig rig="brightRoom" dir="t"/>
          </a:scene3d>
          <a:sp3d prstMaterial="flat">
            <a:bevelT w="50800" h="101600" prst="angle"/>
            <a:contourClr>
              <a:srgbClr val="000000"/>
            </a:contourClr>
          </a:sp3d>
        </c:spPr>
        <c:dLbl>
          <c:idx val="0"/>
          <c:layout>
            <c:manualLayout>
              <c:x val="0.26208353747459945"/>
              <c:y val="3.85009861932938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86348829711187"/>
          <c:y val="0.2211533696244728"/>
          <c:w val="0.65050938743851383"/>
          <c:h val="0.73939892691604436"/>
        </c:manualLayout>
      </c:layout>
      <c:pieChart>
        <c:varyColors val="1"/>
        <c:ser>
          <c:idx val="0"/>
          <c:order val="0"/>
          <c:tx>
            <c:strRef>
              <c:f>PivotReport!$Q$22</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9C-4C84-A7C8-7D90E277DF76}"/>
              </c:ext>
            </c:extLst>
          </c:dPt>
          <c:dPt>
            <c:idx val="1"/>
            <c:bubble3D val="0"/>
            <c:spPr>
              <a:solidFill>
                <a:srgbClr val="ACA40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9C-4C84-A7C8-7D90E277DF76}"/>
              </c:ext>
            </c:extLst>
          </c:dPt>
          <c:dLbls>
            <c:dLbl>
              <c:idx val="0"/>
              <c:layout>
                <c:manualLayout>
                  <c:x val="-0.23535719080199693"/>
                  <c:y val="-3.85009861932939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9C-4C84-A7C8-7D90E277DF76}"/>
                </c:ext>
              </c:extLst>
            </c:dLbl>
            <c:dLbl>
              <c:idx val="1"/>
              <c:layout>
                <c:manualLayout>
                  <c:x val="0.26208353747459945"/>
                  <c:y val="3.850098619329388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9C-4C84-A7C8-7D90E277DF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PivotReport!$P$23:$P$24</c:f>
              <c:strCache>
                <c:ptCount val="2"/>
                <c:pt idx="0">
                  <c:v>Deley</c:v>
                </c:pt>
                <c:pt idx="1">
                  <c:v>Ontime</c:v>
                </c:pt>
              </c:strCache>
            </c:strRef>
          </c:cat>
          <c:val>
            <c:numRef>
              <c:f>PivotReport!$Q$23:$Q$24</c:f>
              <c:numCache>
                <c:formatCode>General</c:formatCode>
                <c:ptCount val="2"/>
                <c:pt idx="0">
                  <c:v>316</c:v>
                </c:pt>
                <c:pt idx="1">
                  <c:v>197</c:v>
                </c:pt>
              </c:numCache>
            </c:numRef>
          </c:val>
          <c:extLst>
            <c:ext xmlns:c16="http://schemas.microsoft.com/office/drawing/2014/chart" uri="{C3380CC4-5D6E-409C-BE32-E72D297353CC}">
              <c16:uniqueId val="{0000000F-ED2B-4C98-BA0D-B22A9698F2A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9909662454983815E-2"/>
          <c:y val="9.6400938048424437E-2"/>
          <c:w val="0.87257095770005488"/>
          <c:h val="0.1066449238223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[Dashboard_Hospital_Emergency_Room.xlsx]PivotReport!PivotTable10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706E1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4188303385153785E-2"/>
          <c:y val="0.2608352988134548"/>
          <c:w val="0.77469439396998441"/>
          <c:h val="0.69615394849837309"/>
        </c:manualLayout>
      </c:layout>
      <c:doughnutChart>
        <c:varyColors val="1"/>
        <c:ser>
          <c:idx val="0"/>
          <c:order val="0"/>
          <c:tx>
            <c:strRef>
              <c:f>PivotReport!$P$29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38E-4295-9E0C-8926DFE7AA10}"/>
              </c:ext>
            </c:extLst>
          </c:dPt>
          <c:dPt>
            <c:idx val="1"/>
            <c:bubble3D val="0"/>
            <c:spPr>
              <a:solidFill>
                <a:srgbClr val="706E1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38E-4295-9E0C-8926DFE7AA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PivotReport!$O$30:$O$31</c:f>
              <c:strCache>
                <c:ptCount val="2"/>
                <c:pt idx="0">
                  <c:v>Female</c:v>
                </c:pt>
                <c:pt idx="1">
                  <c:v>Male</c:v>
                </c:pt>
              </c:strCache>
            </c:strRef>
          </c:cat>
          <c:val>
            <c:numRef>
              <c:f>PivotReport!$P$30:$P$31</c:f>
              <c:numCache>
                <c:formatCode>General</c:formatCode>
                <c:ptCount val="2"/>
                <c:pt idx="0">
                  <c:v>241</c:v>
                </c:pt>
                <c:pt idx="1">
                  <c:v>272</c:v>
                </c:pt>
              </c:numCache>
            </c:numRef>
          </c:val>
          <c:extLst>
            <c:ext xmlns:c16="http://schemas.microsoft.com/office/drawing/2014/chart" uri="{C3380CC4-5D6E-409C-BE32-E72D297353CC}">
              <c16:uniqueId val="{0000000F-2B1D-4A9D-AFE6-0F09F9F734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9.6155905511811024E-2"/>
          <c:y val="0.14639568702560829"/>
          <c:w val="0.80384409448818883"/>
          <c:h val="8.85900073301648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PivotReport!$M$36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PivotReport!$L$37:$L$44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PivotReport!$M$37:$M$44</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B-FA7F-42C4-B2E7-BE22EF2CE314}"/>
            </c:ext>
          </c:extLst>
        </c:ser>
        <c:dLbls>
          <c:showLegendKey val="0"/>
          <c:showVal val="0"/>
          <c:showCatName val="0"/>
          <c:showSerName val="0"/>
          <c:showPercent val="0"/>
          <c:showBubbleSize val="0"/>
        </c:dLbls>
        <c:gapWidth val="7"/>
        <c:axId val="1128426927"/>
        <c:axId val="1128427407"/>
      </c:barChart>
      <c:catAx>
        <c:axId val="112842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8427407"/>
        <c:crosses val="autoZero"/>
        <c:auto val="1"/>
        <c:lblAlgn val="ctr"/>
        <c:lblOffset val="100"/>
        <c:noMultiLvlLbl val="0"/>
      </c:catAx>
      <c:valAx>
        <c:axId val="1128427407"/>
        <c:scaling>
          <c:orientation val="minMax"/>
        </c:scaling>
        <c:delete val="1"/>
        <c:axPos val="b"/>
        <c:numFmt formatCode="General" sourceLinked="1"/>
        <c:majorTickMark val="none"/>
        <c:minorTickMark val="none"/>
        <c:tickLblPos val="nextTo"/>
        <c:crossAx val="112842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[Dashboard_Hospital_Emergency_Room.xlsx]PivotReport!PivotTable7</c:name>
    <c:fmtId val="3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PivotReport!$J$6</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PivotReport!$I$7:$I$38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PivotReport!$J$7:$J$38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9-A6C6-42BB-B259-8F72CD090703}"/>
            </c:ext>
          </c:extLst>
        </c:ser>
        <c:dLbls>
          <c:showLegendKey val="0"/>
          <c:showVal val="0"/>
          <c:showCatName val="0"/>
          <c:showSerName val="0"/>
          <c:showPercent val="0"/>
          <c:showBubbleSize val="0"/>
        </c:dLbls>
        <c:axId val="851604752"/>
        <c:axId val="851622992"/>
      </c:areaChart>
      <c:catAx>
        <c:axId val="8516047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1622992"/>
        <c:crosses val="autoZero"/>
        <c:auto val="1"/>
        <c:lblAlgn val="ctr"/>
        <c:lblOffset val="100"/>
        <c:noMultiLvlLbl val="0"/>
      </c:catAx>
      <c:valAx>
        <c:axId val="8516229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1604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[Dashboard_Hospital_Emergency_Room.xlsx]PivotReport!PivotTable6</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2986420175738"/>
          <c:y val="9.2485549132947972E-2"/>
          <c:w val="0.84211086385940892"/>
          <c:h val="0.63055846342906563"/>
        </c:manualLayout>
      </c:layout>
      <c:areaChart>
        <c:grouping val="standard"/>
        <c:varyColors val="0"/>
        <c:ser>
          <c:idx val="0"/>
          <c:order val="0"/>
          <c:tx>
            <c:strRef>
              <c:f>PivotReport!$G$6</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PivotReport!$F$7:$F$38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PivotReport!$G$7:$G$38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9-FE1F-4BD0-A184-CDFBB03F3A40}"/>
            </c:ext>
          </c:extLst>
        </c:ser>
        <c:dLbls>
          <c:showLegendKey val="0"/>
          <c:showVal val="0"/>
          <c:showCatName val="0"/>
          <c:showSerName val="0"/>
          <c:showPercent val="0"/>
          <c:showBubbleSize val="0"/>
        </c:dLbls>
        <c:axId val="911791504"/>
        <c:axId val="911802064"/>
      </c:areaChart>
      <c:catAx>
        <c:axId val="911791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1802064"/>
        <c:crosses val="autoZero"/>
        <c:auto val="1"/>
        <c:lblAlgn val="ctr"/>
        <c:lblOffset val="100"/>
        <c:noMultiLvlLbl val="0"/>
      </c:catAx>
      <c:valAx>
        <c:axId val="911802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17915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[Dashboard_Hospital_Emergency_Room.xlsx]PivotReport!PivotTable4</c:name>
    <c:fmtId val="1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80522230858482E-2"/>
          <c:y val="6.9264069264069264E-2"/>
          <c:w val="0.89534362925664335"/>
          <c:h val="0.72331867607458156"/>
        </c:manualLayout>
      </c:layout>
      <c:areaChart>
        <c:grouping val="standard"/>
        <c:varyColors val="0"/>
        <c:ser>
          <c:idx val="0"/>
          <c:order val="0"/>
          <c:tx>
            <c:strRef>
              <c:f>PivotReport!$D$5</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4BB-40D6-A10E-2C6987F65406}"/>
            </c:ext>
          </c:extLst>
        </c:ser>
        <c:dLbls>
          <c:showLegendKey val="0"/>
          <c:showVal val="1"/>
          <c:showCatName val="0"/>
          <c:showSerName val="0"/>
          <c:showPercent val="0"/>
          <c:showBubbleSize val="0"/>
        </c:dLbls>
        <c:axId val="853673792"/>
        <c:axId val="853668992"/>
      </c:areaChart>
      <c:catAx>
        <c:axId val="853673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3668992"/>
        <c:crosses val="autoZero"/>
        <c:auto val="1"/>
        <c:lblAlgn val="ctr"/>
        <c:lblOffset val="100"/>
        <c:noMultiLvlLbl val="0"/>
      </c:catAx>
      <c:valAx>
        <c:axId val="8536689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36737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Char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14</xdr:col>
      <xdr:colOff>38099</xdr:colOff>
      <xdr:row>13</xdr:row>
      <xdr:rowOff>190499</xdr:rowOff>
    </xdr:from>
    <xdr:to>
      <xdr:col>14</xdr:col>
      <xdr:colOff>1857374</xdr:colOff>
      <xdr:row>16</xdr:row>
      <xdr:rowOff>66674</xdr:rowOff>
    </xdr:to>
    <xdr:graphicFrame macro="">
      <xdr:nvGraphicFramePr>
        <xdr:cNvPr id="8" name="Chart 7">
          <a:extLst>
            <a:ext uri="{FF2B5EF4-FFF2-40B4-BE49-F238E27FC236}">
              <a16:creationId xmlns:a16="http://schemas.microsoft.com/office/drawing/2014/main" id="{13979AF5-EB8C-D31F-85DC-60787B86C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76201</xdr:colOff>
      <xdr:row>0</xdr:row>
      <xdr:rowOff>66675</xdr:rowOff>
    </xdr:from>
    <xdr:to>
      <xdr:col>1</xdr:col>
      <xdr:colOff>342900</xdr:colOff>
      <xdr:row>3</xdr:row>
      <xdr:rowOff>9525</xdr:rowOff>
    </xdr:to>
    <xdr:sp macro="" textlink="">
      <xdr:nvSpPr>
        <xdr:cNvPr id="2" name="Rectangle: Rounded Corners 1">
          <a:extLst>
            <a:ext uri="{FF2B5EF4-FFF2-40B4-BE49-F238E27FC236}">
              <a16:creationId xmlns:a16="http://schemas.microsoft.com/office/drawing/2014/main" id="{231520FC-04E0-E15D-2A28-AA00AE0046C9}"/>
            </a:ext>
          </a:extLst>
        </xdr:cNvPr>
        <xdr:cNvSpPr/>
      </xdr:nvSpPr>
      <xdr:spPr>
        <a:xfrm>
          <a:off x="76201" y="66675"/>
          <a:ext cx="952499" cy="5143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19050</xdr:rowOff>
    </xdr:from>
    <xdr:to>
      <xdr:col>1</xdr:col>
      <xdr:colOff>361950</xdr:colOff>
      <xdr:row>3</xdr:row>
      <xdr:rowOff>28575</xdr:rowOff>
    </xdr:to>
    <xdr:pic>
      <xdr:nvPicPr>
        <xdr:cNvPr id="6" name="Picture 5">
          <a:extLst>
            <a:ext uri="{FF2B5EF4-FFF2-40B4-BE49-F238E27FC236}">
              <a16:creationId xmlns:a16="http://schemas.microsoft.com/office/drawing/2014/main" id="{4D303B43-9DAB-2206-925F-9D4CEB19FB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047750" cy="581025"/>
        </a:xfrm>
        <a:prstGeom prst="rect">
          <a:avLst/>
        </a:prstGeom>
        <a:ln>
          <a:noFill/>
        </a:ln>
      </xdr:spPr>
    </xdr:pic>
    <xdr:clientData/>
  </xdr:twoCellAnchor>
  <xdr:twoCellAnchor editAs="absolute">
    <xdr:from>
      <xdr:col>1</xdr:col>
      <xdr:colOff>390526</xdr:colOff>
      <xdr:row>0</xdr:row>
      <xdr:rowOff>66675</xdr:rowOff>
    </xdr:from>
    <xdr:to>
      <xdr:col>8</xdr:col>
      <xdr:colOff>295275</xdr:colOff>
      <xdr:row>3</xdr:row>
      <xdr:rowOff>0</xdr:rowOff>
    </xdr:to>
    <xdr:sp macro="" textlink="">
      <xdr:nvSpPr>
        <xdr:cNvPr id="7" name="Rectangle: Rounded Corners 6">
          <a:extLst>
            <a:ext uri="{FF2B5EF4-FFF2-40B4-BE49-F238E27FC236}">
              <a16:creationId xmlns:a16="http://schemas.microsoft.com/office/drawing/2014/main" id="{1F3B7BF3-84C9-61D5-787E-74432C581AD8}"/>
            </a:ext>
          </a:extLst>
        </xdr:cNvPr>
        <xdr:cNvSpPr/>
      </xdr:nvSpPr>
      <xdr:spPr>
        <a:xfrm>
          <a:off x="1076326" y="66675"/>
          <a:ext cx="4190999" cy="504825"/>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absolute">
    <xdr:from>
      <xdr:col>0</xdr:col>
      <xdr:colOff>76201</xdr:colOff>
      <xdr:row>3</xdr:row>
      <xdr:rowOff>66674</xdr:rowOff>
    </xdr:from>
    <xdr:to>
      <xdr:col>1</xdr:col>
      <xdr:colOff>342900</xdr:colOff>
      <xdr:row>22</xdr:row>
      <xdr:rowOff>123825</xdr:rowOff>
    </xdr:to>
    <xdr:sp macro="" textlink="">
      <xdr:nvSpPr>
        <xdr:cNvPr id="8" name="Rectangle: Rounded Corners 7">
          <a:extLst>
            <a:ext uri="{FF2B5EF4-FFF2-40B4-BE49-F238E27FC236}">
              <a16:creationId xmlns:a16="http://schemas.microsoft.com/office/drawing/2014/main" id="{A98673F9-3A39-794B-8447-646A7BD955CE}"/>
            </a:ext>
          </a:extLst>
        </xdr:cNvPr>
        <xdr:cNvSpPr/>
      </xdr:nvSpPr>
      <xdr:spPr>
        <a:xfrm>
          <a:off x="76201" y="638174"/>
          <a:ext cx="952499" cy="3676651"/>
        </a:xfrm>
        <a:prstGeom prst="roundRect">
          <a:avLst>
            <a:gd name="adj" fmla="val 7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3</xdr:row>
      <xdr:rowOff>85725</xdr:rowOff>
    </xdr:from>
    <xdr:to>
      <xdr:col>4</xdr:col>
      <xdr:colOff>150325</xdr:colOff>
      <xdr:row>8</xdr:row>
      <xdr:rowOff>66675</xdr:rowOff>
    </xdr:to>
    <xdr:sp macro="" textlink="">
      <xdr:nvSpPr>
        <xdr:cNvPr id="9" name="Rectangle: Rounded Corners 8">
          <a:extLst>
            <a:ext uri="{FF2B5EF4-FFF2-40B4-BE49-F238E27FC236}">
              <a16:creationId xmlns:a16="http://schemas.microsoft.com/office/drawing/2014/main" id="{56066C77-9614-2E3C-3F7A-FBEA4AC15F0C}"/>
            </a:ext>
          </a:extLst>
        </xdr:cNvPr>
        <xdr:cNvSpPr/>
      </xdr:nvSpPr>
      <xdr:spPr>
        <a:xfrm>
          <a:off x="1104900" y="657225"/>
          <a:ext cx="1579075" cy="933450"/>
        </a:xfrm>
        <a:prstGeom prst="roundRect">
          <a:avLst>
            <a:gd name="adj" fmla="val 107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219075</xdr:colOff>
      <xdr:row>3</xdr:row>
      <xdr:rowOff>95249</xdr:rowOff>
    </xdr:from>
    <xdr:to>
      <xdr:col>7</xdr:col>
      <xdr:colOff>9525</xdr:colOff>
      <xdr:row>8</xdr:row>
      <xdr:rowOff>66674</xdr:rowOff>
    </xdr:to>
    <xdr:sp macro="" textlink="">
      <xdr:nvSpPr>
        <xdr:cNvPr id="10" name="Rectangle: Rounded Corners 9">
          <a:extLst>
            <a:ext uri="{FF2B5EF4-FFF2-40B4-BE49-F238E27FC236}">
              <a16:creationId xmlns:a16="http://schemas.microsoft.com/office/drawing/2014/main" id="{9BBD7762-3D70-9FD6-CB8E-ED09A31D6379}"/>
            </a:ext>
          </a:extLst>
        </xdr:cNvPr>
        <xdr:cNvSpPr/>
      </xdr:nvSpPr>
      <xdr:spPr>
        <a:xfrm>
          <a:off x="2752725" y="666749"/>
          <a:ext cx="1619250" cy="923925"/>
        </a:xfrm>
        <a:prstGeom prst="roundRect">
          <a:avLst>
            <a:gd name="adj" fmla="val 98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87800</xdr:colOff>
      <xdr:row>3</xdr:row>
      <xdr:rowOff>95250</xdr:rowOff>
    </xdr:from>
    <xdr:to>
      <xdr:col>9</xdr:col>
      <xdr:colOff>447675</xdr:colOff>
      <xdr:row>8</xdr:row>
      <xdr:rowOff>76200</xdr:rowOff>
    </xdr:to>
    <xdr:sp macro="" textlink="">
      <xdr:nvSpPr>
        <xdr:cNvPr id="11" name="Rectangle: Rounded Corners 10">
          <a:extLst>
            <a:ext uri="{FF2B5EF4-FFF2-40B4-BE49-F238E27FC236}">
              <a16:creationId xmlns:a16="http://schemas.microsoft.com/office/drawing/2014/main" id="{671ACF9F-D4C6-985C-DEC6-0F06DB8C62D2}"/>
            </a:ext>
          </a:extLst>
        </xdr:cNvPr>
        <xdr:cNvSpPr/>
      </xdr:nvSpPr>
      <xdr:spPr>
        <a:xfrm>
          <a:off x="4450250" y="666750"/>
          <a:ext cx="1579075" cy="933450"/>
        </a:xfrm>
        <a:prstGeom prst="roundRect">
          <a:avLst>
            <a:gd name="adj" fmla="val 98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8</xdr:row>
      <xdr:rowOff>142875</xdr:rowOff>
    </xdr:from>
    <xdr:to>
      <xdr:col>9</xdr:col>
      <xdr:colOff>476250</xdr:colOff>
      <xdr:row>12</xdr:row>
      <xdr:rowOff>171450</xdr:rowOff>
    </xdr:to>
    <xdr:sp macro="" textlink="">
      <xdr:nvSpPr>
        <xdr:cNvPr id="13" name="Rectangle: Rounded Corners 12">
          <a:extLst>
            <a:ext uri="{FF2B5EF4-FFF2-40B4-BE49-F238E27FC236}">
              <a16:creationId xmlns:a16="http://schemas.microsoft.com/office/drawing/2014/main" id="{7034A790-3BA8-A055-EBB0-4E0A57104C56}"/>
            </a:ext>
          </a:extLst>
        </xdr:cNvPr>
        <xdr:cNvSpPr/>
      </xdr:nvSpPr>
      <xdr:spPr>
        <a:xfrm>
          <a:off x="1104900" y="1666875"/>
          <a:ext cx="4953000" cy="790575"/>
        </a:xfrm>
        <a:prstGeom prst="roundRect">
          <a:avLst>
            <a:gd name="adj" fmla="val 107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361950</xdr:colOff>
      <xdr:row>0</xdr:row>
      <xdr:rowOff>76201</xdr:rowOff>
    </xdr:from>
    <xdr:to>
      <xdr:col>12</xdr:col>
      <xdr:colOff>542925</xdr:colOff>
      <xdr:row>3</xdr:row>
      <xdr:rowOff>19050</xdr:rowOff>
    </xdr:to>
    <xdr:sp macro="" textlink="">
      <xdr:nvSpPr>
        <xdr:cNvPr id="14" name="Rectangle: Rounded Corners 13">
          <a:extLst>
            <a:ext uri="{FF2B5EF4-FFF2-40B4-BE49-F238E27FC236}">
              <a16:creationId xmlns:a16="http://schemas.microsoft.com/office/drawing/2014/main" id="{D32BAE41-7915-2F7B-0B0C-5ABFE2BF7F2A}"/>
            </a:ext>
          </a:extLst>
        </xdr:cNvPr>
        <xdr:cNvSpPr/>
      </xdr:nvSpPr>
      <xdr:spPr>
        <a:xfrm>
          <a:off x="5334000" y="76201"/>
          <a:ext cx="2619375" cy="514349"/>
        </a:xfrm>
        <a:prstGeom prst="roundRect">
          <a:avLst>
            <a:gd name="adj" fmla="val 140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19050</xdr:colOff>
      <xdr:row>0</xdr:row>
      <xdr:rowOff>104775</xdr:rowOff>
    </xdr:from>
    <xdr:to>
      <xdr:col>16</xdr:col>
      <xdr:colOff>152400</xdr:colOff>
      <xdr:row>12</xdr:row>
      <xdr:rowOff>95250</xdr:rowOff>
    </xdr:to>
    <xdr:sp macro="" textlink="">
      <xdr:nvSpPr>
        <xdr:cNvPr id="16" name="Rectangle: Rounded Corners 15">
          <a:extLst>
            <a:ext uri="{FF2B5EF4-FFF2-40B4-BE49-F238E27FC236}">
              <a16:creationId xmlns:a16="http://schemas.microsoft.com/office/drawing/2014/main" id="{852313B4-8C5C-E496-AE89-5FA9B6EAC03C}"/>
            </a:ext>
          </a:extLst>
        </xdr:cNvPr>
        <xdr:cNvSpPr/>
      </xdr:nvSpPr>
      <xdr:spPr>
        <a:xfrm>
          <a:off x="8039100" y="104775"/>
          <a:ext cx="1962150" cy="2276475"/>
        </a:xfrm>
        <a:prstGeom prst="roundRect">
          <a:avLst>
            <a:gd name="adj" fmla="val 759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523875</xdr:colOff>
      <xdr:row>3</xdr:row>
      <xdr:rowOff>95251</xdr:rowOff>
    </xdr:from>
    <xdr:to>
      <xdr:col>12</xdr:col>
      <xdr:colOff>542925</xdr:colOff>
      <xdr:row>12</xdr:row>
      <xdr:rowOff>114301</xdr:rowOff>
    </xdr:to>
    <xdr:sp macro="" textlink="">
      <xdr:nvSpPr>
        <xdr:cNvPr id="17" name="Rectangle: Rounded Corners 16">
          <a:extLst>
            <a:ext uri="{FF2B5EF4-FFF2-40B4-BE49-F238E27FC236}">
              <a16:creationId xmlns:a16="http://schemas.microsoft.com/office/drawing/2014/main" id="{4CB738A6-9AC7-F269-B4B7-7AFF3B4D78C7}"/>
            </a:ext>
          </a:extLst>
        </xdr:cNvPr>
        <xdr:cNvSpPr/>
      </xdr:nvSpPr>
      <xdr:spPr>
        <a:xfrm>
          <a:off x="6105525" y="666751"/>
          <a:ext cx="1847850" cy="1733550"/>
        </a:xfrm>
        <a:prstGeom prst="roundRect">
          <a:avLst>
            <a:gd name="adj" fmla="val 67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561975</xdr:colOff>
      <xdr:row>12</xdr:row>
      <xdr:rowOff>180975</xdr:rowOff>
    </xdr:from>
    <xdr:to>
      <xdr:col>16</xdr:col>
      <xdr:colOff>161925</xdr:colOff>
      <xdr:row>22</xdr:row>
      <xdr:rowOff>171451</xdr:rowOff>
    </xdr:to>
    <xdr:sp macro="" textlink="">
      <xdr:nvSpPr>
        <xdr:cNvPr id="18" name="Rectangle: Rounded Corners 17">
          <a:extLst>
            <a:ext uri="{FF2B5EF4-FFF2-40B4-BE49-F238E27FC236}">
              <a16:creationId xmlns:a16="http://schemas.microsoft.com/office/drawing/2014/main" id="{E9A9E801-F29C-D891-94CB-5F2F3A8427BD}"/>
            </a:ext>
          </a:extLst>
        </xdr:cNvPr>
        <xdr:cNvSpPr/>
      </xdr:nvSpPr>
      <xdr:spPr>
        <a:xfrm>
          <a:off x="6143625" y="2466975"/>
          <a:ext cx="3867150" cy="1895476"/>
        </a:xfrm>
        <a:prstGeom prst="roundRect">
          <a:avLst>
            <a:gd name="adj" fmla="val 62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13</xdr:row>
      <xdr:rowOff>47625</xdr:rowOff>
    </xdr:from>
    <xdr:to>
      <xdr:col>9</xdr:col>
      <xdr:colOff>476250</xdr:colOff>
      <xdr:row>22</xdr:row>
      <xdr:rowOff>152400</xdr:rowOff>
    </xdr:to>
    <xdr:sp macro="" textlink="">
      <xdr:nvSpPr>
        <xdr:cNvPr id="19" name="Rectangle: Rounded Corners 18">
          <a:extLst>
            <a:ext uri="{FF2B5EF4-FFF2-40B4-BE49-F238E27FC236}">
              <a16:creationId xmlns:a16="http://schemas.microsoft.com/office/drawing/2014/main" id="{FDDAFF67-3450-6079-1C53-FE3E7093DCB1}"/>
            </a:ext>
          </a:extLst>
        </xdr:cNvPr>
        <xdr:cNvSpPr/>
      </xdr:nvSpPr>
      <xdr:spPr>
        <a:xfrm>
          <a:off x="1104900" y="2524125"/>
          <a:ext cx="4953000" cy="1819275"/>
        </a:xfrm>
        <a:prstGeom prst="roundRect">
          <a:avLst>
            <a:gd name="adj" fmla="val 90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419101</xdr:colOff>
      <xdr:row>0</xdr:row>
      <xdr:rowOff>104775</xdr:rowOff>
    </xdr:from>
    <xdr:to>
      <xdr:col>8</xdr:col>
      <xdr:colOff>152400</xdr:colOff>
      <xdr:row>2</xdr:row>
      <xdr:rowOff>152400</xdr:rowOff>
    </xdr:to>
    <xdr:sp macro="" textlink="">
      <xdr:nvSpPr>
        <xdr:cNvPr id="20" name="TextBox 19">
          <a:extLst>
            <a:ext uri="{FF2B5EF4-FFF2-40B4-BE49-F238E27FC236}">
              <a16:creationId xmlns:a16="http://schemas.microsoft.com/office/drawing/2014/main" id="{A8E5AF5D-7D48-8B15-B736-4D03100B4089}"/>
            </a:ext>
          </a:extLst>
        </xdr:cNvPr>
        <xdr:cNvSpPr txBox="1"/>
      </xdr:nvSpPr>
      <xdr:spPr>
        <a:xfrm>
          <a:off x="1104901" y="104775"/>
          <a:ext cx="4019549" cy="428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solidFill>
                <a:sysClr val="windowText" lastClr="000000"/>
              </a:solidFill>
              <a:effectLst>
                <a:outerShdw blurRad="63500" sx="102000" sy="102000" algn="ctr" rotWithShape="0">
                  <a:prstClr val="black">
                    <a:alpha val="40000"/>
                  </a:prstClr>
                </a:outerShdw>
              </a:effectLst>
              <a:latin typeface="Georgia" panose="02040502050405020303" pitchFamily="18" charset="0"/>
            </a:rPr>
            <a:t>HOSPITAL</a:t>
          </a:r>
          <a:r>
            <a:rPr lang="en-IN" sz="1400" b="0" baseline="0">
              <a:solidFill>
                <a:sysClr val="windowText" lastClr="000000"/>
              </a:solidFill>
              <a:effectLst>
                <a:outerShdw blurRad="63500" sx="102000" sy="102000" algn="ctr" rotWithShape="0">
                  <a:prstClr val="black">
                    <a:alpha val="40000"/>
                  </a:prstClr>
                </a:outerShdw>
              </a:effectLst>
              <a:latin typeface="Georgia" panose="02040502050405020303" pitchFamily="18" charset="0"/>
            </a:rPr>
            <a:t> EMERGENCY ROOM </a:t>
          </a:r>
          <a:r>
            <a:rPr lang="en-IN" sz="1400" b="0" baseline="0">
              <a:ln>
                <a:noFill/>
              </a:ln>
              <a:solidFill>
                <a:sysClr val="windowText" lastClr="000000"/>
              </a:solidFill>
              <a:effectLst>
                <a:outerShdw blurRad="63500" sx="102000" sy="102000" algn="ctr" rotWithShape="0">
                  <a:prstClr val="black">
                    <a:alpha val="40000"/>
                  </a:prstClr>
                </a:outerShdw>
              </a:effectLst>
              <a:latin typeface="Georgia" panose="02040502050405020303" pitchFamily="18" charset="0"/>
            </a:rPr>
            <a:t>DASHBOARD</a:t>
          </a:r>
        </a:p>
        <a:p>
          <a:pPr algn="ctr"/>
          <a:r>
            <a:rPr lang="en-IN" sz="1200" b="0" baseline="0">
              <a:ln>
                <a:noFill/>
              </a:ln>
              <a:solidFill>
                <a:sysClr val="windowText" lastClr="000000"/>
              </a:solidFill>
              <a:effectLst>
                <a:outerShdw blurRad="63500" sx="102000" sy="102000" algn="ctr" rotWithShape="0">
                  <a:prstClr val="black">
                    <a:alpha val="40000"/>
                  </a:prstClr>
                </a:outerShdw>
              </a:effectLst>
              <a:latin typeface="Georgia" panose="02040502050405020303" pitchFamily="18" charset="0"/>
            </a:rPr>
            <a:t>Monthly Report</a:t>
          </a:r>
          <a:endParaRPr lang="en-IN" sz="1200" b="0">
            <a:ln>
              <a:noFill/>
            </a:ln>
            <a:solidFill>
              <a:sysClr val="windowText" lastClr="000000"/>
            </a:solidFill>
            <a:effectLst>
              <a:outerShdw blurRad="63500" sx="102000" sy="102000" algn="ctr" rotWithShape="0">
                <a:prstClr val="black">
                  <a:alpha val="40000"/>
                </a:prstClr>
              </a:outerShdw>
            </a:effectLst>
            <a:latin typeface="Georgia" panose="02040502050405020303" pitchFamily="18" charset="0"/>
          </a:endParaRPr>
        </a:p>
      </xdr:txBody>
    </xdr:sp>
    <xdr:clientData/>
  </xdr:twoCellAnchor>
  <xdr:twoCellAnchor editAs="absolute">
    <xdr:from>
      <xdr:col>2</xdr:col>
      <xdr:colOff>247650</xdr:colOff>
      <xdr:row>4</xdr:row>
      <xdr:rowOff>104774</xdr:rowOff>
    </xdr:from>
    <xdr:to>
      <xdr:col>3</xdr:col>
      <xdr:colOff>438150</xdr:colOff>
      <xdr:row>5</xdr:row>
      <xdr:rowOff>152399</xdr:rowOff>
    </xdr:to>
    <xdr:sp macro="" textlink="">
      <xdr:nvSpPr>
        <xdr:cNvPr id="21" name="TextBox 20">
          <a:extLst>
            <a:ext uri="{FF2B5EF4-FFF2-40B4-BE49-F238E27FC236}">
              <a16:creationId xmlns:a16="http://schemas.microsoft.com/office/drawing/2014/main" id="{BE3F65EF-BB48-7773-E925-C3240B4429B8}"/>
            </a:ext>
          </a:extLst>
        </xdr:cNvPr>
        <xdr:cNvSpPr txBox="1"/>
      </xdr:nvSpPr>
      <xdr:spPr>
        <a:xfrm>
          <a:off x="1562100" y="866774"/>
          <a:ext cx="8001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NO.of Patient</a:t>
          </a:r>
        </a:p>
      </xdr:txBody>
    </xdr:sp>
    <xdr:clientData/>
  </xdr:twoCellAnchor>
  <xdr:twoCellAnchor editAs="absolute">
    <xdr:from>
      <xdr:col>2</xdr:col>
      <xdr:colOff>295275</xdr:colOff>
      <xdr:row>3</xdr:row>
      <xdr:rowOff>114300</xdr:rowOff>
    </xdr:from>
    <xdr:to>
      <xdr:col>3</xdr:col>
      <xdr:colOff>228600</xdr:colOff>
      <xdr:row>4</xdr:row>
      <xdr:rowOff>161925</xdr:rowOff>
    </xdr:to>
    <xdr:sp macro="" textlink="PivotReport!A6">
      <xdr:nvSpPr>
        <xdr:cNvPr id="22" name="TextBox 21">
          <a:extLst>
            <a:ext uri="{FF2B5EF4-FFF2-40B4-BE49-F238E27FC236}">
              <a16:creationId xmlns:a16="http://schemas.microsoft.com/office/drawing/2014/main" id="{ED333DCD-F53F-1845-D9E3-F1ED320B095D}"/>
            </a:ext>
          </a:extLst>
        </xdr:cNvPr>
        <xdr:cNvSpPr txBox="1"/>
      </xdr:nvSpPr>
      <xdr:spPr>
        <a:xfrm>
          <a:off x="1609725" y="685800"/>
          <a:ext cx="5429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D7A8586-DC8E-479A-B3F1-020466A4C783}" type="TxLink">
            <a:rPr lang="en-US" sz="1100" b="0" i="0" u="none" strike="noStrike">
              <a:solidFill>
                <a:srgbClr val="000000"/>
              </a:solidFill>
              <a:latin typeface="Aptos Narrow"/>
            </a:rPr>
            <a:pPr algn="ctr"/>
            <a:t>513</a:t>
          </a:fld>
          <a:endParaRPr lang="en-IN" sz="1000"/>
        </a:p>
      </xdr:txBody>
    </xdr:sp>
    <xdr:clientData/>
  </xdr:twoCellAnchor>
  <xdr:twoCellAnchor editAs="absolute">
    <xdr:from>
      <xdr:col>5</xdr:col>
      <xdr:colOff>180975</xdr:colOff>
      <xdr:row>4</xdr:row>
      <xdr:rowOff>76199</xdr:rowOff>
    </xdr:from>
    <xdr:to>
      <xdr:col>6</xdr:col>
      <xdr:colOff>523874</xdr:colOff>
      <xdr:row>5</xdr:row>
      <xdr:rowOff>133348</xdr:rowOff>
    </xdr:to>
    <xdr:sp macro="" textlink="">
      <xdr:nvSpPr>
        <xdr:cNvPr id="23" name="TextBox 22">
          <a:extLst>
            <a:ext uri="{FF2B5EF4-FFF2-40B4-BE49-F238E27FC236}">
              <a16:creationId xmlns:a16="http://schemas.microsoft.com/office/drawing/2014/main" id="{300FF7D1-A134-9C41-DB2F-3D58BB813B88}"/>
            </a:ext>
          </a:extLst>
        </xdr:cNvPr>
        <xdr:cNvSpPr txBox="1"/>
      </xdr:nvSpPr>
      <xdr:spPr>
        <a:xfrm>
          <a:off x="3324225" y="838199"/>
          <a:ext cx="952499" cy="247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Average Waittime</a:t>
          </a:r>
        </a:p>
      </xdr:txBody>
    </xdr:sp>
    <xdr:clientData/>
  </xdr:twoCellAnchor>
  <xdr:twoCellAnchor editAs="absolute">
    <xdr:from>
      <xdr:col>5</xdr:col>
      <xdr:colOff>381000</xdr:colOff>
      <xdr:row>3</xdr:row>
      <xdr:rowOff>114300</xdr:rowOff>
    </xdr:from>
    <xdr:to>
      <xdr:col>6</xdr:col>
      <xdr:colOff>314325</xdr:colOff>
      <xdr:row>4</xdr:row>
      <xdr:rowOff>161925</xdr:rowOff>
    </xdr:to>
    <xdr:sp macro="" textlink="PivotReport!A11">
      <xdr:nvSpPr>
        <xdr:cNvPr id="24" name="TextBox 23">
          <a:extLst>
            <a:ext uri="{FF2B5EF4-FFF2-40B4-BE49-F238E27FC236}">
              <a16:creationId xmlns:a16="http://schemas.microsoft.com/office/drawing/2014/main" id="{90CB7766-E8FA-B916-4F00-B539DD8D9EC2}"/>
            </a:ext>
          </a:extLst>
        </xdr:cNvPr>
        <xdr:cNvSpPr txBox="1"/>
      </xdr:nvSpPr>
      <xdr:spPr>
        <a:xfrm>
          <a:off x="3524250" y="685800"/>
          <a:ext cx="5429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136780E-EED0-4726-A2A6-A53CD71DF817}" type="TxLink">
            <a:rPr lang="en-US" sz="1100" b="0" i="0" u="none" strike="noStrike">
              <a:solidFill>
                <a:srgbClr val="000000"/>
              </a:solidFill>
              <a:latin typeface="Aptos Narrow"/>
            </a:rPr>
            <a:pPr algn="ctr"/>
            <a:t>36.32</a:t>
          </a:fld>
          <a:endParaRPr lang="en-IN" sz="1000"/>
        </a:p>
      </xdr:txBody>
    </xdr:sp>
    <xdr:clientData/>
  </xdr:twoCellAnchor>
  <xdr:twoCellAnchor editAs="absolute">
    <xdr:from>
      <xdr:col>7</xdr:col>
      <xdr:colOff>352425</xdr:colOff>
      <xdr:row>4</xdr:row>
      <xdr:rowOff>133349</xdr:rowOff>
    </xdr:from>
    <xdr:to>
      <xdr:col>9</xdr:col>
      <xdr:colOff>419100</xdr:colOff>
      <xdr:row>5</xdr:row>
      <xdr:rowOff>142874</xdr:rowOff>
    </xdr:to>
    <xdr:sp macro="" textlink="">
      <xdr:nvSpPr>
        <xdr:cNvPr id="25" name="TextBox 24">
          <a:extLst>
            <a:ext uri="{FF2B5EF4-FFF2-40B4-BE49-F238E27FC236}">
              <a16:creationId xmlns:a16="http://schemas.microsoft.com/office/drawing/2014/main" id="{36AA2D9A-5982-0E08-5B77-3227AC28F29E}"/>
            </a:ext>
          </a:extLst>
        </xdr:cNvPr>
        <xdr:cNvSpPr txBox="1"/>
      </xdr:nvSpPr>
      <xdr:spPr>
        <a:xfrm>
          <a:off x="4714875" y="895349"/>
          <a:ext cx="128587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 Patient Satisfaction Score</a:t>
          </a:r>
        </a:p>
      </xdr:txBody>
    </xdr:sp>
    <xdr:clientData/>
  </xdr:twoCellAnchor>
  <xdr:twoCellAnchor editAs="absolute">
    <xdr:from>
      <xdr:col>8</xdr:col>
      <xdr:colOff>85725</xdr:colOff>
      <xdr:row>3</xdr:row>
      <xdr:rowOff>114300</xdr:rowOff>
    </xdr:from>
    <xdr:to>
      <xdr:col>9</xdr:col>
      <xdr:colOff>19050</xdr:colOff>
      <xdr:row>4</xdr:row>
      <xdr:rowOff>161925</xdr:rowOff>
    </xdr:to>
    <xdr:sp macro="" textlink="PivotReport!A15">
      <xdr:nvSpPr>
        <xdr:cNvPr id="26" name="TextBox 25">
          <a:extLst>
            <a:ext uri="{FF2B5EF4-FFF2-40B4-BE49-F238E27FC236}">
              <a16:creationId xmlns:a16="http://schemas.microsoft.com/office/drawing/2014/main" id="{FEC944CB-3EEC-E6C2-771D-5E27C0EA502A}"/>
            </a:ext>
          </a:extLst>
        </xdr:cNvPr>
        <xdr:cNvSpPr txBox="1"/>
      </xdr:nvSpPr>
      <xdr:spPr>
        <a:xfrm>
          <a:off x="5057775" y="685800"/>
          <a:ext cx="5429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509745C-6E5A-44D2-B746-772C66983EDE}" type="TxLink">
            <a:rPr lang="en-US" sz="1100" b="0" i="0" u="none" strike="noStrike">
              <a:solidFill>
                <a:srgbClr val="000000"/>
              </a:solidFill>
              <a:latin typeface="Aptos Narrow"/>
            </a:rPr>
            <a:pPr algn="ctr"/>
            <a:t>4.96</a:t>
          </a:fld>
          <a:endParaRPr lang="en-IN" sz="1000"/>
        </a:p>
      </xdr:txBody>
    </xdr:sp>
    <xdr:clientData/>
  </xdr:twoCellAnchor>
  <xdr:twoCellAnchor editAs="oneCell">
    <xdr:from>
      <xdr:col>1</xdr:col>
      <xdr:colOff>504826</xdr:colOff>
      <xdr:row>3</xdr:row>
      <xdr:rowOff>142876</xdr:rowOff>
    </xdr:from>
    <xdr:to>
      <xdr:col>2</xdr:col>
      <xdr:colOff>257175</xdr:colOff>
      <xdr:row>5</xdr:row>
      <xdr:rowOff>142875</xdr:rowOff>
    </xdr:to>
    <xdr:pic>
      <xdr:nvPicPr>
        <xdr:cNvPr id="28" name="Graphic 27" descr="Male profile with solid fill">
          <a:extLst>
            <a:ext uri="{FF2B5EF4-FFF2-40B4-BE49-F238E27FC236}">
              <a16:creationId xmlns:a16="http://schemas.microsoft.com/office/drawing/2014/main" id="{A96EC741-FE8D-D26C-2D45-D4C880CA1C9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90626" y="714376"/>
          <a:ext cx="380999" cy="380999"/>
        </a:xfrm>
        <a:prstGeom prst="rect">
          <a:avLst/>
        </a:prstGeom>
      </xdr:spPr>
    </xdr:pic>
    <xdr:clientData/>
  </xdr:twoCellAnchor>
  <xdr:twoCellAnchor editAs="absolute">
    <xdr:from>
      <xdr:col>4</xdr:col>
      <xdr:colOff>285750</xdr:colOff>
      <xdr:row>3</xdr:row>
      <xdr:rowOff>169246</xdr:rowOff>
    </xdr:from>
    <xdr:to>
      <xdr:col>5</xdr:col>
      <xdr:colOff>66675</xdr:colOff>
      <xdr:row>5</xdr:row>
      <xdr:rowOff>133350</xdr:rowOff>
    </xdr:to>
    <xdr:pic>
      <xdr:nvPicPr>
        <xdr:cNvPr id="30" name="Graphic 29" descr="Hourglass Finished with solid fill">
          <a:extLst>
            <a:ext uri="{FF2B5EF4-FFF2-40B4-BE49-F238E27FC236}">
              <a16:creationId xmlns:a16="http://schemas.microsoft.com/office/drawing/2014/main" id="{082B0BD1-18F7-BF25-90FF-7193CC0365B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19400" y="740746"/>
          <a:ext cx="390525" cy="345104"/>
        </a:xfrm>
        <a:prstGeom prst="rect">
          <a:avLst/>
        </a:prstGeom>
      </xdr:spPr>
    </xdr:pic>
    <xdr:clientData/>
  </xdr:twoCellAnchor>
  <xdr:twoCellAnchor editAs="absolute">
    <xdr:from>
      <xdr:col>7</xdr:col>
      <xdr:colOff>102375</xdr:colOff>
      <xdr:row>3</xdr:row>
      <xdr:rowOff>123825</xdr:rowOff>
    </xdr:from>
    <xdr:to>
      <xdr:col>7</xdr:col>
      <xdr:colOff>591058</xdr:colOff>
      <xdr:row>5</xdr:row>
      <xdr:rowOff>57150</xdr:rowOff>
    </xdr:to>
    <xdr:pic>
      <xdr:nvPicPr>
        <xdr:cNvPr id="32" name="Graphic 31" descr="Stars with solid fill">
          <a:extLst>
            <a:ext uri="{FF2B5EF4-FFF2-40B4-BE49-F238E27FC236}">
              <a16:creationId xmlns:a16="http://schemas.microsoft.com/office/drawing/2014/main" id="{5D66BB00-6BA2-29F3-D92D-732CB0579A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64825" y="695325"/>
          <a:ext cx="488683" cy="314325"/>
        </a:xfrm>
        <a:prstGeom prst="rect">
          <a:avLst/>
        </a:prstGeom>
      </xdr:spPr>
    </xdr:pic>
    <xdr:clientData/>
  </xdr:twoCellAnchor>
  <xdr:twoCellAnchor editAs="absolute">
    <xdr:from>
      <xdr:col>0</xdr:col>
      <xdr:colOff>114300</xdr:colOff>
      <xdr:row>3</xdr:row>
      <xdr:rowOff>123825</xdr:rowOff>
    </xdr:from>
    <xdr:to>
      <xdr:col>1</xdr:col>
      <xdr:colOff>285750</xdr:colOff>
      <xdr:row>22</xdr:row>
      <xdr:rowOff>72473</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4BE22525-4862-41AE-A3FB-422DA4818E4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4300" y="695325"/>
              <a:ext cx="857250" cy="3495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447675</xdr:colOff>
      <xdr:row>5</xdr:row>
      <xdr:rowOff>114301</xdr:rowOff>
    </xdr:from>
    <xdr:to>
      <xdr:col>4</xdr:col>
      <xdr:colOff>104775</xdr:colOff>
      <xdr:row>8</xdr:row>
      <xdr:rowOff>38101</xdr:rowOff>
    </xdr:to>
    <xdr:graphicFrame macro="">
      <xdr:nvGraphicFramePr>
        <xdr:cNvPr id="15" name="Chart 14">
          <a:hlinkClick xmlns:r="http://schemas.openxmlformats.org/officeDocument/2006/relationships" r:id="rId8"/>
          <a:extLst>
            <a:ext uri="{FF2B5EF4-FFF2-40B4-BE49-F238E27FC236}">
              <a16:creationId xmlns:a16="http://schemas.microsoft.com/office/drawing/2014/main" id="{B8F74532-699A-F52A-ABCB-E34C31FC0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4</xdr:col>
      <xdr:colOff>238126</xdr:colOff>
      <xdr:row>5</xdr:row>
      <xdr:rowOff>76201</xdr:rowOff>
    </xdr:from>
    <xdr:to>
      <xdr:col>6</xdr:col>
      <xdr:colOff>542925</xdr:colOff>
      <xdr:row>8</xdr:row>
      <xdr:rowOff>47625</xdr:rowOff>
    </xdr:to>
    <xdr:graphicFrame macro="">
      <xdr:nvGraphicFramePr>
        <xdr:cNvPr id="29" name="Chart 28">
          <a:hlinkClick xmlns:r="http://schemas.openxmlformats.org/officeDocument/2006/relationships" r:id="rId10"/>
          <a:extLst>
            <a:ext uri="{FF2B5EF4-FFF2-40B4-BE49-F238E27FC236}">
              <a16:creationId xmlns:a16="http://schemas.microsoft.com/office/drawing/2014/main" id="{1784DC88-0898-2191-0DF9-BB908FCCB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7</xdr:col>
      <xdr:colOff>123825</xdr:colOff>
      <xdr:row>5</xdr:row>
      <xdr:rowOff>114300</xdr:rowOff>
    </xdr:from>
    <xdr:to>
      <xdr:col>9</xdr:col>
      <xdr:colOff>371475</xdr:colOff>
      <xdr:row>8</xdr:row>
      <xdr:rowOff>0</xdr:rowOff>
    </xdr:to>
    <xdr:graphicFrame macro="">
      <xdr:nvGraphicFramePr>
        <xdr:cNvPr id="31" name="Chart 30">
          <a:hlinkClick xmlns:r="http://schemas.openxmlformats.org/officeDocument/2006/relationships" r:id="rId12"/>
          <a:extLst>
            <a:ext uri="{FF2B5EF4-FFF2-40B4-BE49-F238E27FC236}">
              <a16:creationId xmlns:a16="http://schemas.microsoft.com/office/drawing/2014/main" id="{1EFB610A-1E19-4179-8831-AFFE4515E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457200</xdr:colOff>
          <xdr:row>8</xdr:row>
          <xdr:rowOff>180973</xdr:rowOff>
        </xdr:from>
        <xdr:to>
          <xdr:col>9</xdr:col>
          <xdr:colOff>409575</xdr:colOff>
          <xdr:row>12</xdr:row>
          <xdr:rowOff>123824</xdr:rowOff>
        </xdr:to>
        <xdr:pic>
          <xdr:nvPicPr>
            <xdr:cNvPr id="5" name="Picture 4">
              <a:extLst>
                <a:ext uri="{FF2B5EF4-FFF2-40B4-BE49-F238E27FC236}">
                  <a16:creationId xmlns:a16="http://schemas.microsoft.com/office/drawing/2014/main" id="{C8FC489A-BC75-0AD4-F24E-59E7E31BD9BC}"/>
                </a:ext>
              </a:extLst>
            </xdr:cNvPr>
            <xdr:cNvPicPr>
              <a:picLocks noChangeAspect="1" noChangeArrowheads="1"/>
              <a:extLst>
                <a:ext uri="{84589F7E-364E-4C9E-8A38-B11213B215E9}">
                  <a14:cameraTool cellRange="PivotReport!$L$14:$O$16" spid="_x0000_s1040"/>
                </a:ext>
              </a:extLst>
            </xdr:cNvPicPr>
          </xdr:nvPicPr>
          <xdr:blipFill>
            <a:blip xmlns:r="http://schemas.openxmlformats.org/officeDocument/2006/relationships" r:embed="rId14"/>
            <a:srcRect/>
            <a:stretch>
              <a:fillRect/>
            </a:stretch>
          </xdr:blipFill>
          <xdr:spPr bwMode="auto">
            <a:xfrm>
              <a:off x="1143000" y="1704973"/>
              <a:ext cx="4848225" cy="704851"/>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466725</xdr:colOff>
      <xdr:row>13</xdr:row>
      <xdr:rowOff>76200</xdr:rowOff>
    </xdr:from>
    <xdr:to>
      <xdr:col>9</xdr:col>
      <xdr:colOff>390525</xdr:colOff>
      <xdr:row>22</xdr:row>
      <xdr:rowOff>104775</xdr:rowOff>
    </xdr:to>
    <xdr:graphicFrame macro="">
      <xdr:nvGraphicFramePr>
        <xdr:cNvPr id="12" name="Chart 11">
          <a:extLst>
            <a:ext uri="{FF2B5EF4-FFF2-40B4-BE49-F238E27FC236}">
              <a16:creationId xmlns:a16="http://schemas.microsoft.com/office/drawing/2014/main" id="{52503C16-3025-46A1-B812-EF30F018B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561974</xdr:colOff>
      <xdr:row>21</xdr:row>
      <xdr:rowOff>66674</xdr:rowOff>
    </xdr:from>
    <xdr:to>
      <xdr:col>7</xdr:col>
      <xdr:colOff>285749</xdr:colOff>
      <xdr:row>22</xdr:row>
      <xdr:rowOff>114299</xdr:rowOff>
    </xdr:to>
    <xdr:sp macro="" textlink="">
      <xdr:nvSpPr>
        <xdr:cNvPr id="27" name="TextBox 26">
          <a:extLst>
            <a:ext uri="{FF2B5EF4-FFF2-40B4-BE49-F238E27FC236}">
              <a16:creationId xmlns:a16="http://schemas.microsoft.com/office/drawing/2014/main" id="{410695BD-695A-6B3C-31B0-3102DDD03C5B}"/>
            </a:ext>
          </a:extLst>
        </xdr:cNvPr>
        <xdr:cNvSpPr txBox="1"/>
      </xdr:nvSpPr>
      <xdr:spPr>
        <a:xfrm>
          <a:off x="2486024" y="4067174"/>
          <a:ext cx="21621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No</a:t>
          </a:r>
          <a:r>
            <a:rPr lang="en-IN" sz="1050" baseline="0"/>
            <a:t> Of Patient by Age Group</a:t>
          </a:r>
        </a:p>
        <a:p>
          <a:pPr algn="ctr"/>
          <a:endParaRPr lang="en-IN" sz="900"/>
        </a:p>
      </xdr:txBody>
    </xdr:sp>
    <xdr:clientData/>
  </xdr:twoCellAnchor>
  <xdr:twoCellAnchor>
    <xdr:from>
      <xdr:col>9</xdr:col>
      <xdr:colOff>590551</xdr:colOff>
      <xdr:row>4</xdr:row>
      <xdr:rowOff>38100</xdr:rowOff>
    </xdr:from>
    <xdr:to>
      <xdr:col>12</xdr:col>
      <xdr:colOff>504825</xdr:colOff>
      <xdr:row>12</xdr:row>
      <xdr:rowOff>47624</xdr:rowOff>
    </xdr:to>
    <xdr:graphicFrame macro="">
      <xdr:nvGraphicFramePr>
        <xdr:cNvPr id="33" name="Chart 32">
          <a:extLst>
            <a:ext uri="{FF2B5EF4-FFF2-40B4-BE49-F238E27FC236}">
              <a16:creationId xmlns:a16="http://schemas.microsoft.com/office/drawing/2014/main" id="{B5AC783F-254B-40C9-B74B-6812C8957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114300</xdr:colOff>
      <xdr:row>3</xdr:row>
      <xdr:rowOff>104774</xdr:rowOff>
    </xdr:from>
    <xdr:to>
      <xdr:col>12</xdr:col>
      <xdr:colOff>342900</xdr:colOff>
      <xdr:row>4</xdr:row>
      <xdr:rowOff>161923</xdr:rowOff>
    </xdr:to>
    <xdr:sp macro="" textlink="">
      <xdr:nvSpPr>
        <xdr:cNvPr id="34" name="TextBox 33">
          <a:extLst>
            <a:ext uri="{FF2B5EF4-FFF2-40B4-BE49-F238E27FC236}">
              <a16:creationId xmlns:a16="http://schemas.microsoft.com/office/drawing/2014/main" id="{C4E184AE-B888-AD1E-A420-66FD04269B56}"/>
            </a:ext>
          </a:extLst>
        </xdr:cNvPr>
        <xdr:cNvSpPr txBox="1"/>
      </xdr:nvSpPr>
      <xdr:spPr>
        <a:xfrm>
          <a:off x="6305550" y="676274"/>
          <a:ext cx="1447800" cy="247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Patient</a:t>
          </a:r>
          <a:r>
            <a:rPr lang="en-IN" sz="1100" baseline="0"/>
            <a:t> Attend Status</a:t>
          </a:r>
          <a:endParaRPr lang="en-IN" sz="1100"/>
        </a:p>
      </xdr:txBody>
    </xdr:sp>
    <xdr:clientData/>
  </xdr:twoCellAnchor>
  <xdr:twoCellAnchor>
    <xdr:from>
      <xdr:col>13</xdr:col>
      <xdr:colOff>66674</xdr:colOff>
      <xdr:row>1</xdr:row>
      <xdr:rowOff>28574</xdr:rowOff>
    </xdr:from>
    <xdr:to>
      <xdr:col>16</xdr:col>
      <xdr:colOff>95249</xdr:colOff>
      <xdr:row>11</xdr:row>
      <xdr:rowOff>190499</xdr:rowOff>
    </xdr:to>
    <xdr:graphicFrame macro="">
      <xdr:nvGraphicFramePr>
        <xdr:cNvPr id="35" name="Chart 34">
          <a:extLst>
            <a:ext uri="{FF2B5EF4-FFF2-40B4-BE49-F238E27FC236}">
              <a16:creationId xmlns:a16="http://schemas.microsoft.com/office/drawing/2014/main" id="{F10BDC3A-0916-42AA-A3BD-C42225AAF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13</xdr:col>
      <xdr:colOff>209550</xdr:colOff>
      <xdr:row>0</xdr:row>
      <xdr:rowOff>152399</xdr:rowOff>
    </xdr:from>
    <xdr:to>
      <xdr:col>15</xdr:col>
      <xdr:colOff>438150</xdr:colOff>
      <xdr:row>2</xdr:row>
      <xdr:rowOff>19048</xdr:rowOff>
    </xdr:to>
    <xdr:sp macro="" textlink="">
      <xdr:nvSpPr>
        <xdr:cNvPr id="36" name="TextBox 35">
          <a:extLst>
            <a:ext uri="{FF2B5EF4-FFF2-40B4-BE49-F238E27FC236}">
              <a16:creationId xmlns:a16="http://schemas.microsoft.com/office/drawing/2014/main" id="{83CE7DD9-81C7-9561-65C9-7EFABA9949D4}"/>
            </a:ext>
          </a:extLst>
        </xdr:cNvPr>
        <xdr:cNvSpPr txBox="1"/>
      </xdr:nvSpPr>
      <xdr:spPr>
        <a:xfrm>
          <a:off x="8229600" y="152399"/>
          <a:ext cx="1447800" cy="247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Patient</a:t>
          </a:r>
          <a:r>
            <a:rPr lang="en-IN" sz="1100" baseline="0"/>
            <a:t> gender Status</a:t>
          </a:r>
          <a:endParaRPr lang="en-IN" sz="1100"/>
        </a:p>
      </xdr:txBody>
    </xdr:sp>
    <xdr:clientData/>
  </xdr:twoCellAnchor>
  <xdr:twoCellAnchor>
    <xdr:from>
      <xdr:col>10</xdr:col>
      <xdr:colOff>0</xdr:colOff>
      <xdr:row>13</xdr:row>
      <xdr:rowOff>38101</xdr:rowOff>
    </xdr:from>
    <xdr:to>
      <xdr:col>16</xdr:col>
      <xdr:colOff>57150</xdr:colOff>
      <xdr:row>21</xdr:row>
      <xdr:rowOff>114300</xdr:rowOff>
    </xdr:to>
    <xdr:graphicFrame macro="">
      <xdr:nvGraphicFramePr>
        <xdr:cNvPr id="37" name="Chart 36">
          <a:extLst>
            <a:ext uri="{FF2B5EF4-FFF2-40B4-BE49-F238E27FC236}">
              <a16:creationId xmlns:a16="http://schemas.microsoft.com/office/drawing/2014/main" id="{FBB051D2-97FD-4C85-A47D-477914A09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9525</xdr:colOff>
      <xdr:row>21</xdr:row>
      <xdr:rowOff>57149</xdr:rowOff>
    </xdr:from>
    <xdr:to>
      <xdr:col>15</xdr:col>
      <xdr:colOff>104774</xdr:colOff>
      <xdr:row>22</xdr:row>
      <xdr:rowOff>114298</xdr:rowOff>
    </xdr:to>
    <xdr:sp macro="" textlink="">
      <xdr:nvSpPr>
        <xdr:cNvPr id="38" name="TextBox 37">
          <a:extLst>
            <a:ext uri="{FF2B5EF4-FFF2-40B4-BE49-F238E27FC236}">
              <a16:creationId xmlns:a16="http://schemas.microsoft.com/office/drawing/2014/main" id="{F52409EE-A51E-D732-32E5-8475B84579B7}"/>
            </a:ext>
          </a:extLst>
        </xdr:cNvPr>
        <xdr:cNvSpPr txBox="1"/>
      </xdr:nvSpPr>
      <xdr:spPr>
        <a:xfrm>
          <a:off x="6810375" y="4057649"/>
          <a:ext cx="2533649" cy="247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Patient</a:t>
          </a:r>
          <a:r>
            <a:rPr lang="en-IN" sz="1200" baseline="0"/>
            <a:t> Department Status</a:t>
          </a:r>
          <a:endParaRPr lang="en-IN" sz="1200"/>
        </a:p>
      </xdr:txBody>
    </xdr:sp>
    <xdr:clientData/>
  </xdr:twoCellAnchor>
  <xdr:twoCellAnchor editAs="absolute">
    <xdr:from>
      <xdr:col>8</xdr:col>
      <xdr:colOff>419099</xdr:colOff>
      <xdr:row>0</xdr:row>
      <xdr:rowOff>114300</xdr:rowOff>
    </xdr:from>
    <xdr:to>
      <xdr:col>12</xdr:col>
      <xdr:colOff>438150</xdr:colOff>
      <xdr:row>2</xdr:row>
      <xdr:rowOff>161925</xdr:rowOff>
    </xdr:to>
    <mc:AlternateContent xmlns:mc="http://schemas.openxmlformats.org/markup-compatibility/2006" xmlns:a14="http://schemas.microsoft.com/office/drawing/2010/main">
      <mc:Choice Requires="a14">
        <xdr:graphicFrame macro="">
          <xdr:nvGraphicFramePr>
            <xdr:cNvPr id="39" name="Date (Year)">
              <a:extLst>
                <a:ext uri="{FF2B5EF4-FFF2-40B4-BE49-F238E27FC236}">
                  <a16:creationId xmlns:a16="http://schemas.microsoft.com/office/drawing/2014/main" id="{CFF4C316-A48F-4C1E-BC8B-2A26E6BEDA7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414432" y="114300"/>
              <a:ext cx="2474385" cy="428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419099</xdr:colOff>
      <xdr:row>4</xdr:row>
      <xdr:rowOff>152400</xdr:rowOff>
    </xdr:from>
    <xdr:to>
      <xdr:col>19</xdr:col>
      <xdr:colOff>323850</xdr:colOff>
      <xdr:row>20</xdr:row>
      <xdr:rowOff>57150</xdr:rowOff>
    </xdr:to>
    <xdr:graphicFrame macro="">
      <xdr:nvGraphicFramePr>
        <xdr:cNvPr id="2" name="Chart 1">
          <a:extLst>
            <a:ext uri="{FF2B5EF4-FFF2-40B4-BE49-F238E27FC236}">
              <a16:creationId xmlns:a16="http://schemas.microsoft.com/office/drawing/2014/main" id="{14BDB8AD-DE92-4C19-83A3-3D23E0891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514349</xdr:colOff>
      <xdr:row>0</xdr:row>
      <xdr:rowOff>161924</xdr:rowOff>
    </xdr:from>
    <xdr:to>
      <xdr:col>1</xdr:col>
      <xdr:colOff>561974</xdr:colOff>
      <xdr:row>4</xdr:row>
      <xdr:rowOff>57149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6B949C4-2621-8C6F-5990-CC0206390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4349" y="161924"/>
          <a:ext cx="657225"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66674</xdr:rowOff>
    </xdr:from>
    <xdr:to>
      <xdr:col>20</xdr:col>
      <xdr:colOff>200024</xdr:colOff>
      <xdr:row>20</xdr:row>
      <xdr:rowOff>190499</xdr:rowOff>
    </xdr:to>
    <xdr:graphicFrame macro="">
      <xdr:nvGraphicFramePr>
        <xdr:cNvPr id="2" name="Chart 1">
          <a:extLst>
            <a:ext uri="{FF2B5EF4-FFF2-40B4-BE49-F238E27FC236}">
              <a16:creationId xmlns:a16="http://schemas.microsoft.com/office/drawing/2014/main" id="{FFB13888-C4AB-4E7F-96C6-5D18F1A50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257175</xdr:colOff>
      <xdr:row>0</xdr:row>
      <xdr:rowOff>133349</xdr:rowOff>
    </xdr:from>
    <xdr:to>
      <xdr:col>1</xdr:col>
      <xdr:colOff>533399</xdr:colOff>
      <xdr:row>4</xdr:row>
      <xdr:rowOff>95248</xdr:rowOff>
    </xdr:to>
    <xdr:pic>
      <xdr:nvPicPr>
        <xdr:cNvPr id="4" name="Graphic 3" descr="Back with solid fill">
          <a:hlinkClick xmlns:r="http://schemas.openxmlformats.org/officeDocument/2006/relationships" r:id="rId2"/>
          <a:extLst>
            <a:ext uri="{FF2B5EF4-FFF2-40B4-BE49-F238E27FC236}">
              <a16:creationId xmlns:a16="http://schemas.microsoft.com/office/drawing/2014/main" id="{6892336C-1454-D6E3-85ED-ACD8BADE67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7175" y="133349"/>
          <a:ext cx="885824" cy="7238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xdr:row>
      <xdr:rowOff>123826</xdr:rowOff>
    </xdr:from>
    <xdr:to>
      <xdr:col>20</xdr:col>
      <xdr:colOff>95249</xdr:colOff>
      <xdr:row>20</xdr:row>
      <xdr:rowOff>171450</xdr:rowOff>
    </xdr:to>
    <xdr:graphicFrame macro="">
      <xdr:nvGraphicFramePr>
        <xdr:cNvPr id="2" name="Chart 1">
          <a:extLst>
            <a:ext uri="{FF2B5EF4-FFF2-40B4-BE49-F238E27FC236}">
              <a16:creationId xmlns:a16="http://schemas.microsoft.com/office/drawing/2014/main" id="{109028C1-9D18-4A00-8D9A-B11479266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38100</xdr:rowOff>
    </xdr:from>
    <xdr:to>
      <xdr:col>1</xdr:col>
      <xdr:colOff>9525</xdr:colOff>
      <xdr:row>3</xdr:row>
      <xdr:rowOff>47625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2BB9505-76FA-FCE3-EFDB-9DE17BC3DA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38100"/>
          <a:ext cx="581025" cy="5810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86.421157060184" createdVersion="5" refreshedVersion="8" minRefreshableVersion="3" recordCount="0" supportSubquery="1" supportAdvancedDrill="1" xr:uid="{3F359B9E-802C-42B8-9339-F036D18E1E72}">
  <cacheSource type="external" connectionId="3"/>
  <cacheFields count="1">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08912034" createdVersion="5" refreshedVersion="8" minRefreshableVersion="3" recordCount="0" supportSubquery="1" supportAdvancedDrill="1" xr:uid="{DF58F33B-E3BD-4158-9A90-B2D6AC99F238}">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1226852" createdVersion="5" refreshedVersion="8" minRefreshableVersion="3" recordCount="0" supportSubquery="1" supportAdvancedDrill="1" xr:uid="{69252341-D6F5-40F8-B7BE-7192B65B6FFD}">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14699076" createdVersion="5" refreshedVersion="8" minRefreshableVersion="3" recordCount="0" supportSubquery="1" supportAdvancedDrill="1" xr:uid="{11338F8E-351A-4F97-AF1C-4BA223637D4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17129631" createdVersion="5" refreshedVersion="8" minRefreshableVersion="3" recordCount="0" supportSubquery="1" supportAdvancedDrill="1" xr:uid="{FE1FFDCC-D964-4016-99FE-5B27B44146F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19675925" createdVersion="5" refreshedVersion="8" minRefreshableVersion="3" recordCount="0" supportSubquery="1" supportAdvancedDrill="1" xr:uid="{9C215918-661E-4F34-B261-E64EDDE48E9F}">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23032405" createdVersion="5" refreshedVersion="8" minRefreshableVersion="3" recordCount="0" supportSubquery="1" supportAdvancedDrill="1" xr:uid="{0209D38C-8F37-4C8A-91C5-CC515C2F1EF9}">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2650463" createdVersion="5" refreshedVersion="8" minRefreshableVersion="3" recordCount="0" supportSubquery="1" supportAdvancedDrill="1" xr:uid="{FD62F814-5002-4057-A2C6-E1A22FC5E693}">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29398147" createdVersion="5" refreshedVersion="8" minRefreshableVersion="3" recordCount="0" supportSubquery="1" supportAdvancedDrill="1" xr:uid="{959809DC-667F-4B11-B4D5-29420C8502F7}">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9"/>
        <s v="10-19"/>
        <s v="20-29"/>
        <s v="30-39"/>
        <s v="40-49"/>
        <s v="50-59"/>
        <s v="60-69"/>
        <s v="70-79"/>
      </sharedItems>
    </cacheField>
    <cacheField name="[Measures].[Count of Age_Group]" caption="Count of Age_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32060187" createdVersion="5" refreshedVersion="8" minRefreshableVersion="3" recordCount="0" supportSubquery="1" supportAdvancedDrill="1" xr:uid="{8C8AFAA3-5B37-47CD-9A3D-122C0731D3C2}">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e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34953705" createdVersion="5" refreshedVersion="8" minRefreshableVersion="3" recordCount="0" supportSubquery="1" supportAdvancedDrill="1" xr:uid="{9B0F77B6-768D-4BA7-BE96-FC94B97261A6}">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637847222" createdVersion="5" refreshedVersion="8" minRefreshableVersion="3" recordCount="0" supportSubquery="1" supportAdvancedDrill="1" xr:uid="{B3AD1F02-DECC-45B2-A05B-AF65FC05FC5B}">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86.405917361109" createdVersion="3" refreshedVersion="8" minRefreshableVersion="3" recordCount="0" supportSubquery="1" supportAdvancedDrill="1" xr:uid="{83440F39-F728-447D-9E98-6BB346D5B68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269221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D6EE0D-7E9D-4707-A71A-3AB7CA5E86C0}" name="PivotTable2" cacheId="3" applyNumberFormats="0" applyBorderFormats="0" applyFontFormats="0" applyPatternFormats="0" applyAlignmentFormats="0" applyWidthHeightFormats="1" dataCaption="Values" tag="099dc812-9b88-43d7-9d7a-778090659969"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78DFB-CC7B-4499-80B5-7B3AB870F275}" name="PivotTable3" cacheId="4" applyNumberFormats="0" applyBorderFormats="0" applyFontFormats="0" applyPatternFormats="0" applyAlignmentFormats="0" applyWidthHeightFormats="1" dataCaption="Values" tag="5baed228-5be6-418a-98cb-2f384b54b51b"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BB35C-6A64-468F-B7EC-6A30FBDF6EE6}" name="PivotTable9" cacheId="9" applyNumberFormats="0" applyBorderFormats="0" applyFontFormats="0" applyPatternFormats="0" applyAlignmentFormats="0" applyWidthHeightFormats="1" dataCaption="Values" tag="bcb83cbd-4e14-4169-8034-0923892a1235" updatedVersion="8" minRefreshableVersion="3" subtotalHiddenItems="1" rowGrandTotals="0" colGrandTotals="0" itemPrintTitles="1" createdVersion="5" indent="0" outline="1" outlineData="1" multipleFieldFilters="0" chartFormat="10">
  <location ref="P22:Q2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name="Count of Patient Attend Status" fld="2" subtotal="count"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238716-C096-4D78-8894-EE6F49CFE429}" name="PivotTable8" cacheId="8" applyNumberFormats="0" applyBorderFormats="0" applyFontFormats="0" applyPatternFormats="0" applyAlignmentFormats="0" applyWidthHeightFormats="1" dataCaption="Values" tag="b5644705-4907-4429-b631-d7e9f9f28239" updatedVersion="8" minRefreshableVersion="3" subtotalHiddenItems="1" rowGrandTotals="0" colGrandTotals="0" itemPrintTitles="1" createdVersion="5" indent="0" outline="1" outlineData="1" multipleFieldFilters="0" chartFormat="6">
  <location ref="L21:M2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x v="7"/>
    </i>
  </rowItems>
  <colItems count="1">
    <i/>
  </colItems>
  <dataFields count="1">
    <dataField name="Count of Age_Group"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07DB1-7EC8-4516-A5A7-418B005A513F}" name="PivotTable10" cacheId="10" applyNumberFormats="0" applyBorderFormats="0" applyFontFormats="0" applyPatternFormats="0" applyAlignmentFormats="0" applyWidthHeightFormats="1" dataCaption="Values" tag="e520b61c-4beb-434a-a852-9eec604ba3f5" updatedVersion="8" minRefreshableVersion="3" subtotalHiddenItems="1" rowGrandTotals="0" colGrandTotals="0" itemPrintTitles="1" createdVersion="5" indent="0" outline="1" outlineData="1" multipleFieldFilters="0" chartFormat="14">
  <location ref="O29:P3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Items count="1">
    <i/>
  </colItems>
  <dataFields count="1">
    <dataField name="Count of Patient Gender" fld="1" subtotal="count" baseField="0" baseItem="0"/>
  </dataField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7EBC3-7353-46EA-86CC-8EDCBA60D358}" name="PivotTable14" cacheId="0" applyNumberFormats="0" applyBorderFormats="0" applyFontFormats="0" applyPatternFormats="0" applyAlignmentFormats="0" applyWidthHeightFormats="1" dataCaption="Values" tag="279c275a-2ba3-49eb-bb57-d0e13fcb66de" updatedVersion="8" minRefreshableVersion="3" useAutoFormatting="1" subtotalHiddenItems="1" itemPrintTitles="1" createdVersion="5" indent="0" outline="1" outlineData="1" multipleFieldFilters="0">
  <location ref="P37:P39" firstHeaderRow="1" firstDataRow="1" firstDataCol="1"/>
  <pivotFields count="1">
    <pivotField axis="axisRow" allDrilled="1" subtotalTop="0" showAll="0" defaultSubtotal="0" defaultAttributeDrillState="1">
      <items count="1">
        <item s="1" x="0"/>
      </items>
    </pivotField>
  </pivotFields>
  <rowFields count="1">
    <field x="0"/>
  </rowFields>
  <rowItems count="2">
    <i>
      <x/>
    </i>
    <i t="grand">
      <x/>
    </i>
  </rowItem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2C433-E2AA-4B9A-ACE0-AAD501284D81}" name="PivotTable1" cacheId="2" applyNumberFormats="0" applyBorderFormats="0" applyFontFormats="0" applyPatternFormats="0" applyAlignmentFormats="0" applyWidthHeightFormats="1" dataCaption="Values" tag="195fba7e-4151-4665-9892-291064137f42"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C9A773-8DFE-4F0A-966B-15045C0E78BE}" name="PivotTable4" cacheId="1" applyNumberFormats="0" applyBorderFormats="0" applyFontFormats="0" applyPatternFormats="0" applyAlignmentFormats="0" applyWidthHeightFormats="1" dataCaption="Values" tag="032232de-200b-43ac-8f61-9b9db088cd4f" updatedVersion="8" minRefreshableVersion="3" useAutoFormatting="1" subtotalHiddenItems="1" itemPrintTitles="1" createdVersion="5" indent="0" outline="1" outlineData="1" multipleFieldFilters="0" chartFormat="22">
  <location ref="C5:D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2">
    <chartFormat chart="15"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42AAF6-A76E-4D26-9B3F-DC3CA19BE82A}" name="PivotTable11" cacheId="11" applyNumberFormats="0" applyBorderFormats="0" applyFontFormats="0" applyPatternFormats="0" applyAlignmentFormats="0" applyWidthHeightFormats="1" dataCaption="Values" tag="d0ca07f7-d3e7-4cb3-ac40-727bb11f76bd" updatedVersion="8" minRefreshableVersion="3" subtotalHiddenItems="1" rowGrandTotals="0" colGrandTotals="0" itemPrintTitles="1" createdVersion="5" indent="0" outline="1" outlineData="1" multipleFieldFilters="0" chartFormat="18">
  <location ref="L36:M4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1"/>
    </i>
    <i>
      <x v="7"/>
    </i>
    <i>
      <x v="3"/>
    </i>
    <i>
      <x v="6"/>
    </i>
    <i>
      <x/>
    </i>
    <i>
      <x v="5"/>
    </i>
    <i>
      <x v="2"/>
    </i>
    <i>
      <x v="4"/>
    </i>
  </rowItems>
  <colItems count="1">
    <i/>
  </colItems>
  <dataFields count="1">
    <dataField name="Count of Department Referral" fld="2"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5D6BC0-6640-494B-B3F4-E6E108F622EA}" name="PivotTable7" cacheId="6" applyNumberFormats="0" applyBorderFormats="0" applyFontFormats="0" applyPatternFormats="0" applyAlignmentFormats="0" applyWidthHeightFormats="1" dataCaption="Values" tag="4740ae55-c287-41df-b248-6855bd19f821" updatedVersion="8" minRefreshableVersion="3" useAutoFormatting="1" subtotalHiddenItems="1" itemPrintTitles="1" createdVersion="5" indent="0" outline="1" outlineData="1" multipleFieldFilters="0" chartFormat="37">
  <location ref="I6:J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
      <pivotArea outline="0" collapsedLevelsAreSubtotals="1" fieldPosition="0"/>
    </format>
  </formats>
  <chartFormats count="5">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53EBC9-3B77-4BED-B555-262C4484CEEA}" name="PivotTable6" cacheId="5" applyNumberFormats="0" applyBorderFormats="0" applyFontFormats="0" applyPatternFormats="0" applyAlignmentFormats="0" applyWidthHeightFormats="1" dataCaption="Values" tag="46c63747-ea30-4a32-af23-60d4e1744e2c" updatedVersion="8" minRefreshableVersion="3" useAutoFormatting="1" subtotalHiddenItems="1" itemPrintTitles="1" createdVersion="5" indent="0" outline="1" outlineData="1" multipleFieldFilters="0" chartFormat="30">
  <location ref="F6:G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
      <pivotArea outline="0" collapsedLevelsAreSubtotals="1" fieldPosition="0"/>
    </format>
  </formats>
  <chartFormats count="3">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7D1C38-5F4A-4B88-BBC7-41435B814E5F}" name="PivotTable5" cacheId="7" applyNumberFormats="0" applyBorderFormats="0" applyFontFormats="0" applyPatternFormats="0" applyAlignmentFormats="0" applyWidthHeightFormats="1" dataCaption="Values" tag="c48c62e6-93a9-4e2c-9d62-bb30861851e7" updatedVersion="8" minRefreshableVersion="3" subtotalHiddenItems="1" itemPrintTitles="1" createdVersion="5" indent="0" showHeaders="0" outline="1" outlineData="1" multipleFieldFilters="0" chartFormat="2">
  <location ref="L6:M9" firstHeaderRow="1" firstDataRow="1" firstDataCol="1"/>
  <pivotFields count="4">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2" fld="0" subtotal="count" showDataAs="percentOfTotal" baseField="1" baseItem="0" numFmtId="10"/>
  </dataFields>
  <chartFormats count="2">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8B9E40B-C9C2-4423-A75C-0831C0B21B9F}"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8"/>
    <pivotTable tabId="1" name="PivotTable9"/>
    <pivotTable tabId="1" name="PivotTable10"/>
    <pivotTable tabId="1" name="PivotTable11"/>
  </pivotTables>
  <data>
    <olap pivotCacheId="102692211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C06DC73-3998-4533-A3F9-8172004B1492}" sourceName="[Calender_Table].[Date (Year)]">
  <pivotTables>
    <pivotTable tabId="1" name="PivotTable1"/>
    <pivotTable tabId="1" name="PivotTable10"/>
    <pivotTable tabId="1" name="PivotTable11"/>
    <pivotTable tabId="1" name="PivotTable14"/>
    <pivotTable tabId="1" name="PivotTable2"/>
    <pivotTable tabId="1" name="PivotTable3"/>
    <pivotTable tabId="1" name="PivotTable5"/>
    <pivotTable tabId="1" name="PivotTable6"/>
    <pivotTable tabId="1" name="PivotTable7"/>
    <pivotTable tabId="1" name="PivotTable8"/>
    <pivotTable tabId="1" name="PivotTable9"/>
  </pivotTables>
  <data>
    <olap pivotCacheId="1026922111">
      <levels count="2">
        <level uniqueName="[Calender_Table].[Date (Year)].[(All)]" sourceCaption="(All)" count="0"/>
        <level uniqueName="[Calender_Table].[Date (Year)].[Date (Year)]" sourceCaption="Date (Year)" count="2" crossFilter="none">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E941822-418D-4A64-A6C6-1F4EC87B1F00}" cache="Slicer_Date__Month" caption="Date (Month)" showCaption="0" level="1" style="MYSlicer" rowHeight="252000"/>
  <slicer name="Date (Year)" xr10:uid="{F75CF950-8BF7-4DFB-8E58-524390BA6AF8}" cache="Slicer_Date__Year" caption="Date (Year)" columnCount="2" showCaption="0" level="1" style="MYSlic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716A-AA8C-4351-BBF8-D66DF369E44A}">
  <dimension ref="A4:Q44"/>
  <sheetViews>
    <sheetView topLeftCell="J13" workbookViewId="0">
      <selection activeCell="P9" sqref="P9"/>
    </sheetView>
  </sheetViews>
  <sheetFormatPr defaultRowHeight="15" x14ac:dyDescent="0.25"/>
  <cols>
    <col min="1" max="1" width="34.85546875" customWidth="1"/>
    <col min="3" max="3" width="13.42578125" bestFit="1" customWidth="1"/>
    <col min="4" max="4" width="26" bestFit="1" customWidth="1"/>
    <col min="5" max="5" width="14.5703125" customWidth="1"/>
    <col min="6" max="6" width="13.42578125" bestFit="1" customWidth="1"/>
    <col min="7" max="7" width="26.5703125" bestFit="1" customWidth="1"/>
    <col min="9" max="9" width="13.42578125" bestFit="1" customWidth="1"/>
    <col min="10" max="10" width="34.85546875" bestFit="1" customWidth="1"/>
    <col min="12" max="12" width="16.5703125" customWidth="1"/>
    <col min="13" max="13" width="7.28515625" customWidth="1"/>
    <col min="14" max="14" width="9.140625" customWidth="1"/>
    <col min="15" max="15" width="28.28515625" customWidth="1"/>
    <col min="16" max="16" width="13.42578125" bestFit="1" customWidth="1"/>
    <col min="17" max="17" width="16.85546875" bestFit="1" customWidth="1"/>
    <col min="18" max="747" width="10.42578125" bestFit="1" customWidth="1"/>
    <col min="748" max="748" width="11.28515625" bestFit="1" customWidth="1"/>
  </cols>
  <sheetData>
    <row r="4" spans="1:15" ht="18.75" x14ac:dyDescent="0.3">
      <c r="A4" t="s">
        <v>1</v>
      </c>
      <c r="C4" s="13" t="s">
        <v>6</v>
      </c>
      <c r="D4" s="14"/>
    </row>
    <row r="5" spans="1:15" x14ac:dyDescent="0.25">
      <c r="A5" t="s">
        <v>0</v>
      </c>
      <c r="C5" s="4" t="s">
        <v>4</v>
      </c>
      <c r="D5" t="s">
        <v>0</v>
      </c>
      <c r="F5" s="15" t="s">
        <v>7</v>
      </c>
      <c r="G5" s="15"/>
      <c r="I5" s="15" t="s">
        <v>8</v>
      </c>
      <c r="J5" s="15"/>
      <c r="L5" s="15" t="s">
        <v>12</v>
      </c>
      <c r="M5" s="15"/>
    </row>
    <row r="6" spans="1:15" x14ac:dyDescent="0.25">
      <c r="A6" s="1">
        <v>513</v>
      </c>
      <c r="C6" s="5" t="s">
        <v>44</v>
      </c>
      <c r="D6" s="1">
        <v>19</v>
      </c>
      <c r="F6" s="4" t="s">
        <v>4</v>
      </c>
      <c r="G6" t="s">
        <v>2</v>
      </c>
      <c r="I6" s="4" t="s">
        <v>4</v>
      </c>
      <c r="J6" t="s">
        <v>3</v>
      </c>
      <c r="M6" t="s">
        <v>11</v>
      </c>
    </row>
    <row r="7" spans="1:15" x14ac:dyDescent="0.25">
      <c r="C7" s="5" t="s">
        <v>45</v>
      </c>
      <c r="D7" s="1">
        <v>14</v>
      </c>
      <c r="F7" s="5" t="s">
        <v>44</v>
      </c>
      <c r="G7" s="2">
        <v>37.789473684210527</v>
      </c>
      <c r="I7" s="5" t="s">
        <v>44</v>
      </c>
      <c r="J7" s="2">
        <v>6.666666666666667</v>
      </c>
      <c r="L7" s="5" t="s">
        <v>9</v>
      </c>
      <c r="M7" s="8">
        <v>0.52436647173489281</v>
      </c>
    </row>
    <row r="8" spans="1:15" x14ac:dyDescent="0.25">
      <c r="C8" s="5" t="s">
        <v>46</v>
      </c>
      <c r="D8" s="1">
        <v>13</v>
      </c>
      <c r="F8" s="5" t="s">
        <v>45</v>
      </c>
      <c r="G8" s="2">
        <v>38.214285714285715</v>
      </c>
      <c r="I8" s="5" t="s">
        <v>45</v>
      </c>
      <c r="J8" s="2">
        <v>3.5</v>
      </c>
      <c r="L8" s="5" t="s">
        <v>10</v>
      </c>
      <c r="M8" s="8">
        <v>0.47563352826510719</v>
      </c>
    </row>
    <row r="9" spans="1:15" x14ac:dyDescent="0.25">
      <c r="C9" s="5" t="s">
        <v>47</v>
      </c>
      <c r="D9" s="1">
        <v>22</v>
      </c>
      <c r="F9" s="5" t="s">
        <v>46</v>
      </c>
      <c r="G9" s="2">
        <v>40.92307692307692</v>
      </c>
      <c r="I9" s="5" t="s">
        <v>46</v>
      </c>
      <c r="J9" s="2">
        <v>4.5</v>
      </c>
      <c r="L9" s="5" t="s">
        <v>5</v>
      </c>
      <c r="M9" s="8">
        <v>1</v>
      </c>
    </row>
    <row r="10" spans="1:15" x14ac:dyDescent="0.25">
      <c r="A10" t="s">
        <v>2</v>
      </c>
      <c r="C10" s="5" t="s">
        <v>48</v>
      </c>
      <c r="D10" s="1">
        <v>19</v>
      </c>
      <c r="F10" s="5" t="s">
        <v>47</v>
      </c>
      <c r="G10" s="2">
        <v>34.5</v>
      </c>
      <c r="I10" s="5" t="s">
        <v>47</v>
      </c>
      <c r="J10" s="2">
        <v>4.8</v>
      </c>
    </row>
    <row r="11" spans="1:15" x14ac:dyDescent="0.25">
      <c r="A11" s="2">
        <v>36.323586744639378</v>
      </c>
      <c r="C11" s="5" t="s">
        <v>49</v>
      </c>
      <c r="D11" s="1">
        <v>15</v>
      </c>
      <c r="F11" s="5" t="s">
        <v>48</v>
      </c>
      <c r="G11" s="2">
        <v>30.684210526315791</v>
      </c>
      <c r="I11" s="5" t="s">
        <v>48</v>
      </c>
      <c r="J11" s="2">
        <v>7.75</v>
      </c>
    </row>
    <row r="12" spans="1:15" x14ac:dyDescent="0.25">
      <c r="C12" s="5" t="s">
        <v>50</v>
      </c>
      <c r="D12" s="1">
        <v>12</v>
      </c>
      <c r="F12" s="5" t="s">
        <v>49</v>
      </c>
      <c r="G12" s="2">
        <v>37.666666666666664</v>
      </c>
      <c r="I12" s="5" t="s">
        <v>49</v>
      </c>
      <c r="J12" s="2">
        <v>6.2</v>
      </c>
    </row>
    <row r="13" spans="1:15" x14ac:dyDescent="0.25">
      <c r="C13" s="5" t="s">
        <v>51</v>
      </c>
      <c r="D13" s="1">
        <v>21</v>
      </c>
      <c r="F13" s="5" t="s">
        <v>50</v>
      </c>
      <c r="G13" s="2">
        <v>36.083333333333336</v>
      </c>
      <c r="I13" s="5" t="s">
        <v>50</v>
      </c>
      <c r="J13" s="2">
        <v>3.75</v>
      </c>
    </row>
    <row r="14" spans="1:15" x14ac:dyDescent="0.25">
      <c r="A14" t="s">
        <v>3</v>
      </c>
      <c r="C14" s="5" t="s">
        <v>52</v>
      </c>
      <c r="D14" s="1">
        <v>12</v>
      </c>
      <c r="F14" s="5" t="s">
        <v>51</v>
      </c>
      <c r="G14" s="2">
        <v>43.523809523809526</v>
      </c>
      <c r="I14" s="5" t="s">
        <v>51</v>
      </c>
      <c r="J14" s="2">
        <v>6.5</v>
      </c>
      <c r="L14" s="10" t="s">
        <v>12</v>
      </c>
      <c r="M14" s="10" t="s">
        <v>14</v>
      </c>
      <c r="N14" s="10" t="s">
        <v>13</v>
      </c>
      <c r="O14" s="9"/>
    </row>
    <row r="15" spans="1:15" x14ac:dyDescent="0.25">
      <c r="A15" s="2">
        <v>4.9591836734693882</v>
      </c>
      <c r="C15" s="5" t="s">
        <v>53</v>
      </c>
      <c r="D15" s="1">
        <v>13</v>
      </c>
      <c r="F15" s="5" t="s">
        <v>52</v>
      </c>
      <c r="G15" s="2">
        <v>29.5</v>
      </c>
      <c r="I15" s="5" t="s">
        <v>52</v>
      </c>
      <c r="J15" s="2">
        <v>3</v>
      </c>
      <c r="L15" s="7" t="str">
        <f>L8</f>
        <v>Not admitted</v>
      </c>
      <c r="M15" s="7">
        <f>M8</f>
        <v>0.47563352826510719</v>
      </c>
      <c r="N15" s="11">
        <f>N8</f>
        <v>0</v>
      </c>
      <c r="O15" s="6"/>
    </row>
    <row r="16" spans="1:15" x14ac:dyDescent="0.25">
      <c r="C16" s="5" t="s">
        <v>54</v>
      </c>
      <c r="D16" s="1">
        <v>13</v>
      </c>
      <c r="F16" s="5" t="s">
        <v>53</v>
      </c>
      <c r="G16" s="2">
        <v>38.07692307692308</v>
      </c>
      <c r="I16" s="5" t="s">
        <v>53</v>
      </c>
      <c r="J16" s="2">
        <v>4.5</v>
      </c>
      <c r="L16" s="7" t="str">
        <f>L7</f>
        <v>Admitted</v>
      </c>
      <c r="M16" s="7">
        <f>M7</f>
        <v>0.52436647173489281</v>
      </c>
      <c r="N16" s="11">
        <f>N7</f>
        <v>0</v>
      </c>
      <c r="O16" s="6"/>
    </row>
    <row r="17" spans="3:17" x14ac:dyDescent="0.25">
      <c r="C17" s="5" t="s">
        <v>55</v>
      </c>
      <c r="D17" s="1">
        <v>16</v>
      </c>
      <c r="F17" s="5" t="s">
        <v>54</v>
      </c>
      <c r="G17" s="2">
        <v>35.846153846153847</v>
      </c>
      <c r="I17" s="5" t="s">
        <v>54</v>
      </c>
      <c r="J17" s="2">
        <v>6</v>
      </c>
    </row>
    <row r="18" spans="3:17" x14ac:dyDescent="0.25">
      <c r="C18" s="5" t="s">
        <v>56</v>
      </c>
      <c r="D18" s="1">
        <v>20</v>
      </c>
      <c r="F18" s="5" t="s">
        <v>55</v>
      </c>
      <c r="G18" s="2">
        <v>32.625</v>
      </c>
      <c r="I18" s="5" t="s">
        <v>55</v>
      </c>
      <c r="J18" s="2">
        <v>5.2</v>
      </c>
    </row>
    <row r="19" spans="3:17" x14ac:dyDescent="0.25">
      <c r="C19" s="5" t="s">
        <v>57</v>
      </c>
      <c r="D19" s="1">
        <v>25</v>
      </c>
      <c r="F19" s="5" t="s">
        <v>56</v>
      </c>
      <c r="G19" s="2">
        <v>39.200000000000003</v>
      </c>
      <c r="I19" s="5" t="s">
        <v>56</v>
      </c>
      <c r="J19" s="2">
        <v>4.4000000000000004</v>
      </c>
      <c r="L19" s="16"/>
      <c r="M19" s="16"/>
    </row>
    <row r="20" spans="3:17" x14ac:dyDescent="0.25">
      <c r="C20" s="5" t="s">
        <v>58</v>
      </c>
      <c r="D20" s="1">
        <v>20</v>
      </c>
      <c r="F20" s="5" t="s">
        <v>57</v>
      </c>
      <c r="G20" s="2">
        <v>35.28</v>
      </c>
      <c r="I20" s="5" t="s">
        <v>57</v>
      </c>
      <c r="J20" s="2">
        <v>3.4545454545454546</v>
      </c>
      <c r="L20" s="12" t="s">
        <v>24</v>
      </c>
      <c r="M20" s="12"/>
    </row>
    <row r="21" spans="3:17" x14ac:dyDescent="0.25">
      <c r="C21" s="5" t="s">
        <v>59</v>
      </c>
      <c r="D21" s="1">
        <v>14</v>
      </c>
      <c r="F21" s="5" t="s">
        <v>58</v>
      </c>
      <c r="G21" s="2">
        <v>32.549999999999997</v>
      </c>
      <c r="I21" s="5" t="s">
        <v>58</v>
      </c>
      <c r="J21" s="2">
        <v>4.4000000000000004</v>
      </c>
      <c r="L21" s="4" t="s">
        <v>4</v>
      </c>
      <c r="M21" t="s">
        <v>23</v>
      </c>
      <c r="P21" s="12" t="s">
        <v>27</v>
      </c>
      <c r="Q21" s="12"/>
    </row>
    <row r="22" spans="3:17" x14ac:dyDescent="0.25">
      <c r="C22" s="5" t="s">
        <v>60</v>
      </c>
      <c r="D22" s="1">
        <v>17</v>
      </c>
      <c r="F22" s="5" t="s">
        <v>59</v>
      </c>
      <c r="G22" s="2">
        <v>35.642857142857146</v>
      </c>
      <c r="I22" s="5" t="s">
        <v>59</v>
      </c>
      <c r="J22" s="2">
        <v>5.833333333333333</v>
      </c>
      <c r="L22" s="5" t="s">
        <v>15</v>
      </c>
      <c r="M22" s="1">
        <v>76</v>
      </c>
      <c r="P22" s="4" t="s">
        <v>4</v>
      </c>
      <c r="Q22" t="s">
        <v>28</v>
      </c>
    </row>
    <row r="23" spans="3:17" x14ac:dyDescent="0.25">
      <c r="C23" s="5" t="s">
        <v>61</v>
      </c>
      <c r="D23" s="1">
        <v>20</v>
      </c>
      <c r="F23" s="5" t="s">
        <v>60</v>
      </c>
      <c r="G23" s="2">
        <v>38.764705882352942</v>
      </c>
      <c r="I23" s="5" t="s">
        <v>60</v>
      </c>
      <c r="J23" s="2">
        <v>4.4444444444444446</v>
      </c>
      <c r="L23" s="5" t="s">
        <v>16</v>
      </c>
      <c r="M23" s="1">
        <v>69</v>
      </c>
      <c r="P23" s="5" t="s">
        <v>26</v>
      </c>
      <c r="Q23" s="1">
        <v>316</v>
      </c>
    </row>
    <row r="24" spans="3:17" x14ac:dyDescent="0.25">
      <c r="C24" s="5" t="s">
        <v>62</v>
      </c>
      <c r="D24" s="1">
        <v>10</v>
      </c>
      <c r="F24" s="5" t="s">
        <v>61</v>
      </c>
      <c r="G24" s="2">
        <v>39.9</v>
      </c>
      <c r="I24" s="5" t="s">
        <v>61</v>
      </c>
      <c r="J24" s="2">
        <v>5.333333333333333</v>
      </c>
      <c r="L24" s="5" t="s">
        <v>17</v>
      </c>
      <c r="M24" s="1">
        <v>64</v>
      </c>
      <c r="P24" s="5" t="s">
        <v>25</v>
      </c>
      <c r="Q24" s="1">
        <v>197</v>
      </c>
    </row>
    <row r="25" spans="3:17" x14ac:dyDescent="0.25">
      <c r="C25" s="5" t="s">
        <v>63</v>
      </c>
      <c r="D25" s="1">
        <v>17</v>
      </c>
      <c r="F25" s="5" t="s">
        <v>62</v>
      </c>
      <c r="G25" s="2">
        <v>41.6</v>
      </c>
      <c r="I25" s="5" t="s">
        <v>62</v>
      </c>
      <c r="J25" s="2">
        <v>5.333333333333333</v>
      </c>
      <c r="L25" s="5" t="s">
        <v>18</v>
      </c>
      <c r="M25" s="1">
        <v>59</v>
      </c>
    </row>
    <row r="26" spans="3:17" x14ac:dyDescent="0.25">
      <c r="C26" s="5" t="s">
        <v>64</v>
      </c>
      <c r="D26" s="1">
        <v>15</v>
      </c>
      <c r="F26" s="5" t="s">
        <v>63</v>
      </c>
      <c r="G26" s="2">
        <v>39.470588235294116</v>
      </c>
      <c r="I26" s="5" t="s">
        <v>63</v>
      </c>
      <c r="J26" s="2">
        <v>5.5714285714285712</v>
      </c>
      <c r="L26" s="5" t="s">
        <v>19</v>
      </c>
      <c r="M26" s="1">
        <v>58</v>
      </c>
    </row>
    <row r="27" spans="3:17" x14ac:dyDescent="0.25">
      <c r="C27" s="5" t="s">
        <v>65</v>
      </c>
      <c r="D27" s="1">
        <v>16</v>
      </c>
      <c r="F27" s="5" t="s">
        <v>64</v>
      </c>
      <c r="G27" s="2">
        <v>27.733333333333334</v>
      </c>
      <c r="I27" s="5" t="s">
        <v>64</v>
      </c>
      <c r="J27" s="2">
        <v>5</v>
      </c>
      <c r="L27" s="5" t="s">
        <v>20</v>
      </c>
      <c r="M27" s="1">
        <v>66</v>
      </c>
    </row>
    <row r="28" spans="3:17" x14ac:dyDescent="0.25">
      <c r="C28" s="5" t="s">
        <v>66</v>
      </c>
      <c r="D28" s="1">
        <v>18</v>
      </c>
      <c r="F28" s="5" t="s">
        <v>65</v>
      </c>
      <c r="G28" s="2">
        <v>36.875</v>
      </c>
      <c r="I28" s="5" t="s">
        <v>65</v>
      </c>
      <c r="J28" s="2">
        <v>6.4</v>
      </c>
      <c r="L28" s="5" t="s">
        <v>21</v>
      </c>
      <c r="M28" s="1">
        <v>67</v>
      </c>
      <c r="O28" s="12" t="s">
        <v>32</v>
      </c>
      <c r="P28" s="12"/>
    </row>
    <row r="29" spans="3:17" x14ac:dyDescent="0.25">
      <c r="C29" s="5" t="s">
        <v>67</v>
      </c>
      <c r="D29" s="1">
        <v>16</v>
      </c>
      <c r="F29" s="5" t="s">
        <v>66</v>
      </c>
      <c r="G29" s="2">
        <v>40.333333333333336</v>
      </c>
      <c r="I29" s="5" t="s">
        <v>66</v>
      </c>
      <c r="J29" s="2">
        <v>5.333333333333333</v>
      </c>
      <c r="L29" s="5" t="s">
        <v>22</v>
      </c>
      <c r="M29" s="1">
        <v>54</v>
      </c>
      <c r="O29" s="4" t="s">
        <v>4</v>
      </c>
      <c r="P29" t="s">
        <v>29</v>
      </c>
    </row>
    <row r="30" spans="3:17" x14ac:dyDescent="0.25">
      <c r="C30" s="5" t="s">
        <v>68</v>
      </c>
      <c r="D30" s="1">
        <v>15</v>
      </c>
      <c r="F30" s="5" t="s">
        <v>67</v>
      </c>
      <c r="G30" s="2">
        <v>36.5</v>
      </c>
      <c r="I30" s="5" t="s">
        <v>67</v>
      </c>
      <c r="J30" s="2">
        <v>3.75</v>
      </c>
      <c r="O30" s="5" t="s">
        <v>30</v>
      </c>
      <c r="P30" s="1">
        <v>241</v>
      </c>
    </row>
    <row r="31" spans="3:17" x14ac:dyDescent="0.25">
      <c r="C31" s="5" t="s">
        <v>69</v>
      </c>
      <c r="D31" s="1">
        <v>14</v>
      </c>
      <c r="F31" s="5" t="s">
        <v>68</v>
      </c>
      <c r="G31" s="2">
        <v>32.866666666666667</v>
      </c>
      <c r="I31" s="5" t="s">
        <v>68</v>
      </c>
      <c r="J31" s="2">
        <v>6.333333333333333</v>
      </c>
      <c r="O31" s="5" t="s">
        <v>31</v>
      </c>
      <c r="P31" s="1">
        <v>272</v>
      </c>
    </row>
    <row r="32" spans="3:17" x14ac:dyDescent="0.25">
      <c r="C32" s="5" t="s">
        <v>70</v>
      </c>
      <c r="D32" s="1">
        <v>16</v>
      </c>
      <c r="F32" s="5" t="s">
        <v>69</v>
      </c>
      <c r="G32" s="2">
        <v>36.642857142857146</v>
      </c>
      <c r="I32" s="5" t="s">
        <v>69</v>
      </c>
      <c r="J32" s="2">
        <v>10</v>
      </c>
    </row>
    <row r="33" spans="3:16" x14ac:dyDescent="0.25">
      <c r="C33" s="5" t="s">
        <v>71</v>
      </c>
      <c r="D33" s="1">
        <v>20</v>
      </c>
      <c r="F33" s="5" t="s">
        <v>70</v>
      </c>
      <c r="G33" s="2">
        <v>36.5625</v>
      </c>
      <c r="I33" s="5" t="s">
        <v>70</v>
      </c>
      <c r="J33" s="2">
        <v>5</v>
      </c>
    </row>
    <row r="34" spans="3:16" x14ac:dyDescent="0.25">
      <c r="C34" s="5" t="s">
        <v>72</v>
      </c>
      <c r="D34" s="1">
        <v>19</v>
      </c>
      <c r="F34" s="5" t="s">
        <v>71</v>
      </c>
      <c r="G34" s="2">
        <v>32.15</v>
      </c>
      <c r="I34" s="5" t="s">
        <v>71</v>
      </c>
      <c r="J34" s="2">
        <v>5.333333333333333</v>
      </c>
    </row>
    <row r="35" spans="3:16" x14ac:dyDescent="0.25">
      <c r="C35" s="5" t="s">
        <v>73</v>
      </c>
      <c r="D35" s="1">
        <v>14</v>
      </c>
      <c r="F35" s="5" t="s">
        <v>72</v>
      </c>
      <c r="G35" s="2">
        <v>38.368421052631582</v>
      </c>
      <c r="I35" s="5" t="s">
        <v>72</v>
      </c>
      <c r="J35" s="2">
        <v>4.8</v>
      </c>
      <c r="L35" s="12" t="s">
        <v>42</v>
      </c>
      <c r="M35" s="12"/>
    </row>
    <row r="36" spans="3:16" x14ac:dyDescent="0.25">
      <c r="C36" s="5" t="s">
        <v>74</v>
      </c>
      <c r="D36" s="1">
        <v>18</v>
      </c>
      <c r="F36" s="5" t="s">
        <v>73</v>
      </c>
      <c r="G36" s="2">
        <v>33.071428571428569</v>
      </c>
      <c r="I36" s="5" t="s">
        <v>73</v>
      </c>
      <c r="J36" s="2">
        <v>5</v>
      </c>
      <c r="L36" s="4" t="s">
        <v>4</v>
      </c>
      <c r="M36" t="s">
        <v>41</v>
      </c>
    </row>
    <row r="37" spans="3:16" x14ac:dyDescent="0.25">
      <c r="C37" s="5" t="s">
        <v>5</v>
      </c>
      <c r="D37" s="1">
        <v>513</v>
      </c>
      <c r="F37" s="5" t="s">
        <v>74</v>
      </c>
      <c r="G37" s="2">
        <v>36.444444444444443</v>
      </c>
      <c r="I37" s="5" t="s">
        <v>74</v>
      </c>
      <c r="J37" s="2">
        <v>1.4</v>
      </c>
      <c r="L37" s="5" t="s">
        <v>34</v>
      </c>
      <c r="M37" s="1">
        <v>4</v>
      </c>
      <c r="P37" s="4" t="s">
        <v>4</v>
      </c>
    </row>
    <row r="38" spans="3:16" x14ac:dyDescent="0.25">
      <c r="F38" s="5" t="s">
        <v>5</v>
      </c>
      <c r="G38" s="2">
        <v>36.323586744639378</v>
      </c>
      <c r="I38" s="5" t="s">
        <v>5</v>
      </c>
      <c r="J38" s="2">
        <v>4.9591836734693882</v>
      </c>
      <c r="L38" s="5" t="s">
        <v>40</v>
      </c>
      <c r="M38" s="1">
        <v>5</v>
      </c>
      <c r="P38" s="5" t="s">
        <v>43</v>
      </c>
    </row>
    <row r="39" spans="3:16" x14ac:dyDescent="0.25">
      <c r="L39" s="5" t="s">
        <v>36</v>
      </c>
      <c r="M39" s="1">
        <v>9</v>
      </c>
      <c r="P39" s="5" t="s">
        <v>5</v>
      </c>
    </row>
    <row r="40" spans="3:16" x14ac:dyDescent="0.25">
      <c r="L40" s="5" t="s">
        <v>39</v>
      </c>
      <c r="M40" s="1">
        <v>14</v>
      </c>
    </row>
    <row r="41" spans="3:16" x14ac:dyDescent="0.25">
      <c r="L41" s="5" t="s">
        <v>33</v>
      </c>
      <c r="M41" s="1">
        <v>14</v>
      </c>
    </row>
    <row r="42" spans="3:16" x14ac:dyDescent="0.25">
      <c r="L42" s="5" t="s">
        <v>38</v>
      </c>
      <c r="M42" s="1">
        <v>65</v>
      </c>
    </row>
    <row r="43" spans="3:16" x14ac:dyDescent="0.25">
      <c r="L43" s="5" t="s">
        <v>35</v>
      </c>
      <c r="M43" s="1">
        <v>103</v>
      </c>
    </row>
    <row r="44" spans="3:16" x14ac:dyDescent="0.25">
      <c r="L44" s="5" t="s">
        <v>37</v>
      </c>
      <c r="M44" s="1">
        <v>299</v>
      </c>
    </row>
  </sheetData>
  <mergeCells count="9">
    <mergeCell ref="P21:Q21"/>
    <mergeCell ref="O28:P28"/>
    <mergeCell ref="L35:M35"/>
    <mergeCell ref="C4:D4"/>
    <mergeCell ref="F5:G5"/>
    <mergeCell ref="I5:J5"/>
    <mergeCell ref="L19:M19"/>
    <mergeCell ref="L20:M20"/>
    <mergeCell ref="L5:M5"/>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C0CD-7F3F-4AD8-B636-BAE8E096AFD0}">
  <dimension ref="A1"/>
  <sheetViews>
    <sheetView showGridLines="0" tabSelected="1" zoomScaleNormal="100" workbookViewId="0"/>
  </sheetViews>
  <sheetFormatPr defaultRowHeight="15" x14ac:dyDescent="0.25"/>
  <cols>
    <col min="1" max="1" width="10.28515625" style="3" customWidth="1"/>
    <col min="2" max="2" width="9.42578125" style="3" customWidth="1"/>
    <col min="3" max="4" width="9.140625" style="3"/>
    <col min="5" max="8" width="9.140625" style="3" customWidth="1"/>
    <col min="9" max="16384" width="9.140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8C26-FEDE-42A7-AC95-D6F42ABA6B23}">
  <dimension ref="A1"/>
  <sheetViews>
    <sheetView workbookViewId="0"/>
  </sheetViews>
  <sheetFormatPr defaultRowHeight="15" x14ac:dyDescent="0.25"/>
  <cols>
    <col min="1" max="16384" width="9.14062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B0ED-2F8F-4444-BF40-1C38DF28AFDC}">
  <dimension ref="A1"/>
  <sheetViews>
    <sheetView showGridLines="0" workbookViewId="0"/>
  </sheetViews>
  <sheetFormatPr defaultRowHeight="15" x14ac:dyDescent="0.25"/>
  <cols>
    <col min="1" max="16384" width="9.140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09C9-014E-4947-9EBA-DDAE8EF1FC72}">
  <dimension ref="A1"/>
  <sheetViews>
    <sheetView showGridLines="0" workbookViewId="0"/>
  </sheetViews>
  <sheetFormatPr defaultRowHeight="15" x14ac:dyDescent="0.25"/>
  <cols>
    <col min="1" max="16384" width="9.14062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48EAFCB-AA39-4DE0-8F00-3AC1A942FACE}">
  <ds:schemaRefs/>
</ds:datastoreItem>
</file>

<file path=customXml/itemProps2.xml><?xml version="1.0" encoding="utf-8"?>
<ds:datastoreItem xmlns:ds="http://schemas.openxmlformats.org/officeDocument/2006/customXml" ds:itemID="{9513F202-98C6-4B89-8F76-FCC30EDEB907}">
  <ds:schemaRefs/>
</ds:datastoreItem>
</file>

<file path=customXml/itemProps3.xml><?xml version="1.0" encoding="utf-8"?>
<ds:datastoreItem xmlns:ds="http://schemas.openxmlformats.org/officeDocument/2006/customXml" ds:itemID="{9B3E67C9-1736-436E-89F4-197EBC5BC1A8}">
  <ds:schemaRefs/>
</ds:datastoreItem>
</file>

<file path=customXml/itemProps4.xml><?xml version="1.0" encoding="utf-8"?>
<ds:datastoreItem xmlns:ds="http://schemas.openxmlformats.org/officeDocument/2006/customXml" ds:itemID="{6E8AF9E3-0383-419A-87D1-86D4D76A65E3}">
  <ds:schemaRefs>
    <ds:schemaRef ds:uri="http://schemas.microsoft.com/DataMashup"/>
  </ds:schemaRefs>
</ds:datastoreItem>
</file>

<file path=customXml/itemProps5.xml><?xml version="1.0" encoding="utf-8"?>
<ds:datastoreItem xmlns:ds="http://schemas.openxmlformats.org/officeDocument/2006/customXml" ds:itemID="{C004CAB9-29E2-44B1-9F40-7488869F9F13}">
  <ds:schemaRefs/>
</ds:datastoreItem>
</file>

<file path=customXml/itemProps6.xml><?xml version="1.0" encoding="utf-8"?>
<ds:datastoreItem xmlns:ds="http://schemas.openxmlformats.org/officeDocument/2006/customXml" ds:itemID="{5DA1A2A0-2031-4F28-8163-AC5E5F3AF8C5}">
  <ds:schemaRefs/>
</ds:datastoreItem>
</file>

<file path=customXml/itemProps7.xml><?xml version="1.0" encoding="utf-8"?>
<ds:datastoreItem xmlns:ds="http://schemas.openxmlformats.org/officeDocument/2006/customXml" ds:itemID="{88F38DE2-96BB-4DFF-89E9-2AA7C348D51B}">
  <ds:schemaRefs/>
</ds:datastoreItem>
</file>

<file path=customXml/itemProps8.xml><?xml version="1.0" encoding="utf-8"?>
<ds:datastoreItem xmlns:ds="http://schemas.openxmlformats.org/officeDocument/2006/customXml" ds:itemID="{A97E7A74-6720-4677-92B4-ACC24676B84B}">
  <ds:schemaRefs/>
</ds:datastoreItem>
</file>

<file path=customXml/itemProps9.xml><?xml version="1.0" encoding="utf-8"?>
<ds:datastoreItem xmlns:ds="http://schemas.openxmlformats.org/officeDocument/2006/customXml" ds:itemID="{C730E6E5-75CE-4550-93FE-6CBFDBAF626E}">
  <ds:schemaRefs/>
</ds:datastoreItem>
</file>

<file path=customXml/itemProps10.xml><?xml version="1.0" encoding="utf-8"?>
<ds:datastoreItem xmlns:ds="http://schemas.openxmlformats.org/officeDocument/2006/customXml" ds:itemID="{93D32103-0887-44EC-9FB4-ACCE383099D7}">
  <ds:schemaRefs/>
</ds:datastoreItem>
</file>

<file path=customXml/itemProps11.xml><?xml version="1.0" encoding="utf-8"?>
<ds:datastoreItem xmlns:ds="http://schemas.openxmlformats.org/officeDocument/2006/customXml" ds:itemID="{CBA667E2-FFE6-4E71-A1F4-6B6129A8042C}">
  <ds:schemaRefs/>
</ds:datastoreItem>
</file>

<file path=customXml/itemProps12.xml><?xml version="1.0" encoding="utf-8"?>
<ds:datastoreItem xmlns:ds="http://schemas.openxmlformats.org/officeDocument/2006/customXml" ds:itemID="{F66F3B0D-1395-4F78-80A7-305BCBF2CD28}">
  <ds:schemaRefs/>
</ds:datastoreItem>
</file>

<file path=customXml/itemProps13.xml><?xml version="1.0" encoding="utf-8"?>
<ds:datastoreItem xmlns:ds="http://schemas.openxmlformats.org/officeDocument/2006/customXml" ds:itemID="{48545AB2-95CE-42D9-ABFC-18BFB6EBAA33}">
  <ds:schemaRefs/>
</ds:datastoreItem>
</file>

<file path=customXml/itemProps14.xml><?xml version="1.0" encoding="utf-8"?>
<ds:datastoreItem xmlns:ds="http://schemas.openxmlformats.org/officeDocument/2006/customXml" ds:itemID="{F6BA86A8-ACAD-4ED0-804A-D7CA81A282DF}">
  <ds:schemaRefs/>
</ds:datastoreItem>
</file>

<file path=customXml/itemProps15.xml><?xml version="1.0" encoding="utf-8"?>
<ds:datastoreItem xmlns:ds="http://schemas.openxmlformats.org/officeDocument/2006/customXml" ds:itemID="{DF825D25-AE99-48A7-A874-790359B134B8}">
  <ds:schemaRefs/>
</ds:datastoreItem>
</file>

<file path=customXml/itemProps16.xml><?xml version="1.0" encoding="utf-8"?>
<ds:datastoreItem xmlns:ds="http://schemas.openxmlformats.org/officeDocument/2006/customXml" ds:itemID="{10200C23-CFAB-41F2-80E7-A534ED179775}">
  <ds:schemaRefs/>
</ds:datastoreItem>
</file>

<file path=customXml/itemProps17.xml><?xml version="1.0" encoding="utf-8"?>
<ds:datastoreItem xmlns:ds="http://schemas.openxmlformats.org/officeDocument/2006/customXml" ds:itemID="{860B1BEE-7205-4882-870F-1B8BBC97CC3E}">
  <ds:schemaRefs/>
</ds:datastoreItem>
</file>

<file path=customXml/itemProps18.xml><?xml version="1.0" encoding="utf-8"?>
<ds:datastoreItem xmlns:ds="http://schemas.openxmlformats.org/officeDocument/2006/customXml" ds:itemID="{328ACC48-A584-4FFD-B8D9-70ACE0C1E3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PivotReport</vt:lpstr>
      <vt:lpstr>Dashboard</vt:lpstr>
      <vt:lpstr>Score</vt:lpstr>
      <vt:lpstr>Waittime</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2026-09-18T04:05:49Z</dcterms:created>
  <dcterms:modified xsi:type="dcterms:W3CDTF">2026-10-15T02:19:15Z</dcterms:modified>
</cp:coreProperties>
</file>